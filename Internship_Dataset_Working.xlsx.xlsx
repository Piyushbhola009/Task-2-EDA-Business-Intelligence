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73B4E6-C4F0-4162-9812-36A94A8872DE}" xr6:coauthVersionLast="47" xr6:coauthVersionMax="47" xr10:uidLastSave="{00000000-0000-0000-0000-000000000000}"/>
  <bookViews>
    <workbookView xWindow="-120" yWindow="-120" windowWidth="29040" windowHeight="15720" tabRatio="848" firstSheet="5" activeTab="11" xr2:uid="{00000000-000D-0000-FFFF-FFFF00000000}"/>
  </bookViews>
  <sheets>
    <sheet name="Sales_Dataset" sheetId="1" r:id="rId1"/>
    <sheet name="Data_Quality_Report" sheetId="3" r:id="rId2"/>
    <sheet name="Data_Dictionary" sheetId="2" r:id="rId3"/>
    <sheet name="Sheet9" sheetId="17" r:id="rId4"/>
    <sheet name="Sheet10" sheetId="18" r:id="rId5"/>
    <sheet name="Sheet1" sheetId="23" r:id="rId6"/>
    <sheet name="Cleaned_Sales_Dataset" sheetId="5" r:id="rId7"/>
    <sheet name="Numerical_Analysis" sheetId="6" r:id="rId8"/>
    <sheet name="Univariate_Analysis" sheetId="7" r:id="rId9"/>
    <sheet name="Categorical_Analysis" sheetId="8" r:id="rId10"/>
    <sheet name="KPI_Calculations" sheetId="9" r:id="rId11"/>
    <sheet name="Dashboard" sheetId="16" r:id="rId12"/>
    <sheet name="Multivariate Analysis " sheetId="24" r:id="rId13"/>
  </sheets>
  <definedNames>
    <definedName name="_xlnm._FilterDatabase" localSheetId="0" hidden="1">Sales_Dataset!$D$1:$D$1001</definedName>
    <definedName name="_xlchart.v1.0" hidden="1">Cleaned_Sales_Dataset!$K$1</definedName>
    <definedName name="_xlchart.v1.1" hidden="1">Cleaned_Sales_Dataset!$K$2:$K$1001</definedName>
    <definedName name="_xlchart.v1.2" hidden="1">Cleaned_Sales_Dataset!$J$1</definedName>
    <definedName name="_xlchart.v1.3" hidden="1">Cleaned_Sales_Dataset!$J$2:$J$1001</definedName>
    <definedName name="_xlchart.v1.4" hidden="1">Cleaned_Sales_Dataset!$E$1</definedName>
    <definedName name="_xlchart.v1.5" hidden="1">Cleaned_Sales_Dataset!$E$2:$E$1001</definedName>
    <definedName name="_xlchart.v1.6" hidden="1">Cleaned_Sales_Dataset!$L$1</definedName>
    <definedName name="_xlchart.v1.7" hidden="1">Cleaned_Sales_Dataset!$L$2:$L$1001</definedName>
  </definedNames>
  <calcPr calcId="191029"/>
  <pivotCaches>
    <pivotCache cacheId="0" r:id="rId14"/>
    <pivotCache cacheId="7" r:id="rId15"/>
  </pivotCaches>
</workbook>
</file>

<file path=xl/calcChain.xml><?xml version="1.0" encoding="utf-8"?>
<calcChain xmlns="http://schemas.openxmlformats.org/spreadsheetml/2006/main">
  <c r="M5" i="16" l="1"/>
  <c r="M4" i="16"/>
  <c r="M8" i="16"/>
  <c r="M7" i="16"/>
  <c r="B7" i="9"/>
  <c r="M6" i="16"/>
  <c r="M3" i="16"/>
  <c r="I10" i="9"/>
  <c r="G10" i="9"/>
  <c r="E10" i="9"/>
  <c r="I7" i="9"/>
  <c r="G7" i="9"/>
  <c r="E7" i="9"/>
  <c r="F39" i="24"/>
  <c r="F38" i="24"/>
  <c r="F37" i="24"/>
  <c r="E37" i="24"/>
  <c r="E39" i="24"/>
  <c r="E38" i="24"/>
  <c r="D39" i="24"/>
  <c r="D38" i="24"/>
  <c r="D37" i="24"/>
  <c r="C39" i="24"/>
  <c r="C38" i="24"/>
  <c r="C37" i="24"/>
  <c r="F36" i="24"/>
  <c r="E36" i="24"/>
  <c r="D36" i="24"/>
  <c r="C36" i="2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2" i="5"/>
  <c r="B4" i="9"/>
  <c r="K5" i="6"/>
  <c r="K4" i="6"/>
  <c r="K3" i="6"/>
  <c r="K2" i="6"/>
  <c r="J5" i="6"/>
  <c r="J4" i="6"/>
  <c r="J3" i="6"/>
  <c r="J2" i="6"/>
  <c r="I5" i="6"/>
  <c r="I4" i="6"/>
  <c r="I3" i="6"/>
  <c r="I2" i="6"/>
  <c r="H5" i="6"/>
  <c r="H4" i="6"/>
  <c r="H3" i="6"/>
  <c r="H2" i="6"/>
  <c r="G5" i="6"/>
  <c r="G4" i="6"/>
  <c r="G3" i="6"/>
  <c r="G2" i="6"/>
  <c r="F5" i="6"/>
  <c r="F4" i="6"/>
  <c r="F3" i="6"/>
  <c r="F2" i="6"/>
  <c r="E3" i="6"/>
  <c r="E2" i="6"/>
  <c r="D5" i="6"/>
  <c r="D4" i="6"/>
  <c r="D3" i="6"/>
  <c r="D2" i="6"/>
  <c r="C5" i="6"/>
  <c r="C4" i="6"/>
  <c r="C3" i="6"/>
  <c r="C2" i="6"/>
  <c r="B5" i="6"/>
  <c r="B4" i="6"/>
  <c r="B3" i="6"/>
  <c r="B2" i="6"/>
  <c r="AK2" i="1"/>
  <c r="AJ2" i="1"/>
  <c r="AI2" i="1"/>
  <c r="AH2" i="1"/>
  <c r="AG2" i="1"/>
  <c r="AF2" i="1"/>
  <c r="AA2" i="1"/>
  <c r="Z2" i="1"/>
  <c r="X2" i="1"/>
  <c r="W2" i="1"/>
  <c r="V2" i="1"/>
  <c r="U2" i="1"/>
  <c r="T2" i="1"/>
  <c r="N2" i="1"/>
  <c r="O2" i="1"/>
  <c r="AB2" i="1" l="1"/>
  <c r="P2" i="1"/>
  <c r="AC2" i="1" l="1"/>
  <c r="AD2" i="1"/>
  <c r="R2" i="1"/>
  <c r="Q2" i="1"/>
</calcChain>
</file>

<file path=xl/sharedStrings.xml><?xml version="1.0" encoding="utf-8"?>
<sst xmlns="http://schemas.openxmlformats.org/spreadsheetml/2006/main" count="16564" uniqueCount="2840">
  <si>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</si>
  <si>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</si>
  <si>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</si>
  <si>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</si>
  <si>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</si>
  <si>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</si>
  <si>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</si>
  <si>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</si>
  <si>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</si>
  <si>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</si>
  <si>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</si>
  <si>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</si>
  <si>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</si>
  <si>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</si>
  <si>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</si>
  <si>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</si>
  <si>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</si>
  <si>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</si>
  <si>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</si>
  <si>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</si>
  <si>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</si>
  <si>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</si>
  <si>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</si>
  <si>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</si>
  <si>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</si>
  <si>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</si>
  <si>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</si>
  <si>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</si>
  <si>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</si>
  <si>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</si>
  <si>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</si>
  <si>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</si>
  <si>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</si>
  <si>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</si>
  <si>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</si>
  <si>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</si>
  <si>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</si>
  <si>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</si>
  <si>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</si>
  <si>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</si>
  <si>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</si>
  <si>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</si>
  <si>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</si>
  <si>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</si>
  <si>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</si>
  <si>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</si>
  <si>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</si>
  <si>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</si>
  <si>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</si>
  <si>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</si>
  <si>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</si>
  <si>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</si>
  <si>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</si>
  <si>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</si>
  <si>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</si>
  <si>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</si>
  <si>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</si>
  <si>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</si>
  <si>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</si>
  <si>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</si>
  <si>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</si>
  <si>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</si>
  <si>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</si>
  <si>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</si>
  <si>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</si>
  <si>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</si>
  <si>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</si>
  <si>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</si>
  <si>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</si>
  <si>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</si>
  <si>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</si>
  <si>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</si>
  <si>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</si>
  <si>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</si>
  <si>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</si>
  <si>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</si>
  <si>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</si>
  <si>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</si>
  <si>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</si>
  <si>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</si>
  <si>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</si>
  <si>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</si>
  <si>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</si>
  <si>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</si>
  <si>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</si>
  <si>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</si>
  <si>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</si>
  <si>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</si>
  <si>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</si>
  <si>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</si>
  <si>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</si>
  <si>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</si>
  <si>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</si>
  <si>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</si>
  <si>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</si>
  <si>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</si>
  <si>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</si>
  <si>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</si>
  <si>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</si>
  <si>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</si>
  <si>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</si>
  <si>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</si>
  <si>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</si>
  <si>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</si>
  <si>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</si>
  <si>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</si>
  <si>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</si>
  <si>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</si>
  <si>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</si>
  <si>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</si>
  <si>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</si>
  <si>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</si>
  <si>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</si>
  <si>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</si>
  <si>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</si>
  <si>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</si>
  <si>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</si>
  <si>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</si>
  <si>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</si>
  <si>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</si>
  <si>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</si>
  <si>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</si>
  <si>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</si>
  <si>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</si>
  <si>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</si>
  <si>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</si>
  <si>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</si>
  <si>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</si>
  <si>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</si>
  <si>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</si>
  <si>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</si>
  <si>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</si>
  <si>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</si>
  <si>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</si>
  <si>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</si>
  <si>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</si>
  <si>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</si>
  <si>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</si>
  <si>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</si>
  <si>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</si>
  <si>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</si>
  <si>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</si>
  <si>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</si>
  <si>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</si>
  <si>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</si>
  <si>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</si>
  <si>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</si>
  <si>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</si>
  <si>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</si>
  <si>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</si>
  <si>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</si>
  <si>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</si>
  <si>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</si>
  <si>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</si>
  <si>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</si>
  <si>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</si>
  <si>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</si>
  <si>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</si>
  <si>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</si>
  <si>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</si>
  <si>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</si>
  <si>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</si>
  <si>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</si>
  <si>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</si>
  <si>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</si>
  <si>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</si>
  <si>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</si>
  <si>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</si>
  <si>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</si>
  <si>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</si>
  <si>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</si>
  <si>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</si>
  <si>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</si>
  <si>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</si>
  <si>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</si>
  <si>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</si>
  <si>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</si>
  <si>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</si>
  <si>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</si>
  <si>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</si>
  <si>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</si>
  <si>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</si>
  <si>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</si>
  <si>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</si>
  <si>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</si>
  <si>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</si>
  <si>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</si>
  <si>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</si>
  <si>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</si>
  <si>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</si>
  <si>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</si>
  <si>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</si>
  <si>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</si>
  <si>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</si>
  <si>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</si>
  <si>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</si>
  <si>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</si>
  <si>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</si>
  <si>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</si>
  <si>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</si>
  <si>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</si>
  <si>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</si>
  <si>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</si>
  <si>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</si>
  <si>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</si>
  <si>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</si>
  <si>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</si>
  <si>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</si>
  <si>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</si>
  <si>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</si>
  <si>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</si>
  <si>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</si>
  <si>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</si>
  <si>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</si>
  <si>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</si>
  <si>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</si>
  <si>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</si>
  <si>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</si>
  <si>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</si>
  <si>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</si>
  <si>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</si>
  <si>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</si>
  <si>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</si>
  <si>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</si>
  <si>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</si>
  <si>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</si>
  <si>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</si>
  <si>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</si>
  <si>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</si>
  <si>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</si>
  <si>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</si>
  <si>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</si>
  <si>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</si>
  <si>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</si>
  <si>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</si>
  <si>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</si>
  <si>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</si>
  <si>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</si>
  <si>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</si>
  <si>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</si>
  <si>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</si>
  <si>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</si>
  <si>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</si>
  <si>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</si>
  <si>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</si>
  <si>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</si>
  <si>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</si>
  <si>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</si>
  <si>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</si>
  <si>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</si>
  <si>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</si>
  <si>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</si>
  <si>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</si>
  <si>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</si>
  <si>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</si>
  <si>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</si>
  <si>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</si>
  <si>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</si>
  <si>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</si>
  <si>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</si>
  <si>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</si>
  <si>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</si>
  <si>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</si>
  <si>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</si>
  <si>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</si>
  <si>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</si>
  <si>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</si>
  <si>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</si>
  <si>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</si>
  <si>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</si>
  <si>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</si>
  <si>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</si>
  <si>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</si>
  <si>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</si>
  <si>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</si>
  <si>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</si>
  <si>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</si>
  <si>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</si>
  <si>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</si>
  <si>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</si>
  <si>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</si>
  <si>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</si>
  <si>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</si>
  <si>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</si>
  <si>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</si>
  <si>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</si>
  <si>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</si>
  <si>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</si>
  <si>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</si>
  <si>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</si>
  <si>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</si>
  <si>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</si>
  <si>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</si>
  <si>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</si>
  <si>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</si>
  <si>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</si>
  <si>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</si>
  <si>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</si>
  <si>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</si>
  <si>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</si>
  <si>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</si>
  <si>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</si>
  <si>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</si>
  <si>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</si>
  <si>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</si>
  <si>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</si>
  <si>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</si>
  <si>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</si>
  <si>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</si>
  <si>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</si>
  <si>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</si>
  <si>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</si>
  <si>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</si>
  <si>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</si>
  <si>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</si>
  <si>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</si>
  <si>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</si>
  <si>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</si>
  <si>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</si>
  <si>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</si>
  <si>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</si>
  <si>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</si>
  <si>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</si>
  <si>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</si>
  <si>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</si>
  <si>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</si>
  <si>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</si>
  <si>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</si>
  <si>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</si>
  <si>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</si>
  <si>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</si>
  <si>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</si>
  <si>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</si>
  <si>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</si>
  <si>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</si>
  <si>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</si>
  <si>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</si>
  <si>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</si>
  <si>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</si>
  <si>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</si>
  <si>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</si>
  <si>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</si>
  <si>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</si>
  <si>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</si>
  <si>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</si>
  <si>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</si>
  <si>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</si>
  <si>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</si>
  <si>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</si>
  <si>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</si>
  <si>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</si>
  <si>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</si>
  <si>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</si>
  <si>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</si>
  <si>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</si>
  <si>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</si>
  <si>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</si>
  <si>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</si>
  <si>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</si>
  <si>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</si>
  <si>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</si>
  <si>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</si>
  <si>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</si>
  <si>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</si>
  <si>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</si>
  <si>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</si>
  <si>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</si>
  <si>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</si>
  <si>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</si>
  <si>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</si>
  <si>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</si>
  <si>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</si>
  <si>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</si>
  <si>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</si>
  <si>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</si>
  <si>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</si>
  <si>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</si>
  <si>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</si>
  <si>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</si>
  <si>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</si>
  <si>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</si>
  <si>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</si>
  <si>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</si>
  <si>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</si>
  <si>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</si>
  <si>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</si>
  <si>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</si>
  <si>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</si>
  <si>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</si>
  <si>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</si>
  <si>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</si>
  <si>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</si>
  <si>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</si>
  <si>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</si>
  <si>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</si>
  <si>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</si>
  <si>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</si>
  <si>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</si>
  <si>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</si>
  <si>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</si>
  <si>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</si>
  <si>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</si>
  <si>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</si>
  <si>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</si>
  <si>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</si>
  <si>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</si>
  <si>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</si>
  <si>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</si>
  <si>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</si>
  <si>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</si>
  <si>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</si>
  <si>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</si>
  <si>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</si>
  <si>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</si>
  <si>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</si>
  <si>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</si>
  <si>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</si>
  <si>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</si>
  <si>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</si>
  <si>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</si>
  <si>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</si>
  <si>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</si>
  <si>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</si>
  <si>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</si>
  <si>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</si>
  <si>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</si>
  <si>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</si>
  <si>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</si>
  <si>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</si>
  <si>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</si>
  <si>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</si>
  <si>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</si>
  <si>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</si>
  <si>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</si>
  <si>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</si>
  <si>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</si>
  <si>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</si>
  <si>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</si>
  <si>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</si>
  <si>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</si>
  <si>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</si>
  <si>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</si>
  <si>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</si>
  <si>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</si>
  <si>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</si>
  <si>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</si>
  <si>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</si>
  <si>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</si>
  <si>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</si>
  <si>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</si>
  <si>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</si>
  <si>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</si>
  <si>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</si>
  <si>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</si>
  <si>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</si>
  <si>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</si>
  <si>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</si>
  <si>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</si>
  <si>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</si>
  <si>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</si>
  <si>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</si>
  <si>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</si>
  <si>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</si>
  <si>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</si>
  <si>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</si>
  <si>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</si>
  <si>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</si>
  <si>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</si>
  <si>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</si>
  <si>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</si>
  <si>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</si>
  <si>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</si>
  <si>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</si>
  <si>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</si>
  <si>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</si>
  <si>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</si>
  <si>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</si>
  <si>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</si>
  <si>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</si>
  <si>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</si>
  <si>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</si>
  <si>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</si>
  <si>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</si>
  <si>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</si>
  <si>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</si>
  <si>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</si>
  <si>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</si>
  <si>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</si>
  <si>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</si>
  <si>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</si>
  <si>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</si>
  <si>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</si>
  <si>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</si>
  <si>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</si>
  <si>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</si>
  <si>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</si>
  <si>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</si>
  <si>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</si>
  <si>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</si>
  <si>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</si>
  <si>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</si>
  <si>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</si>
  <si>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</si>
  <si>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</si>
  <si>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</si>
  <si>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</si>
  <si>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</si>
  <si>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</si>
  <si>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</si>
  <si>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</si>
  <si>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</si>
  <si>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</si>
  <si>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</si>
  <si>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</si>
  <si>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</si>
  <si>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</si>
  <si>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</si>
  <si>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</si>
  <si>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</si>
  <si>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</si>
  <si>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</si>
  <si>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</si>
  <si>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</si>
  <si>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</si>
  <si>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</si>
  <si>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</si>
  <si>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</si>
  <si>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</si>
  <si>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</si>
  <si>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</si>
  <si>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</si>
  <si>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</si>
  <si>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</si>
  <si>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</si>
  <si>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</si>
  <si>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</si>
  <si>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</si>
  <si>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</si>
  <si>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</si>
  <si>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</si>
  <si>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</si>
  <si>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</si>
  <si>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</si>
  <si>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</si>
  <si>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</si>
  <si>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</si>
  <si>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</si>
  <si>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</si>
  <si>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</si>
  <si>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</si>
  <si>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</si>
  <si>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</si>
  <si>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</si>
  <si>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</si>
  <si>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</si>
  <si>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</si>
  <si>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</si>
  <si>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</si>
  <si>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</si>
  <si>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</si>
  <si>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</si>
  <si>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</si>
  <si>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</si>
  <si>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</si>
  <si>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</si>
  <si>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</si>
  <si>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</si>
  <si>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</si>
  <si>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</si>
  <si>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</si>
  <si>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</si>
  <si>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</si>
  <si>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</si>
  <si>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</si>
  <si>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</si>
  <si>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</si>
  <si>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</si>
  <si>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</si>
  <si>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</si>
  <si>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</si>
  <si>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</si>
  <si>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</si>
  <si>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</si>
  <si>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</si>
  <si>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</si>
  <si>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</si>
  <si>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</si>
  <si>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</si>
  <si>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</si>
  <si>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</si>
  <si>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</si>
  <si>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</si>
  <si>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</si>
  <si>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</si>
  <si>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</si>
  <si>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</si>
  <si>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</si>
  <si>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</si>
  <si>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</si>
  <si>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</si>
  <si>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</si>
  <si>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</si>
  <si>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</si>
  <si>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</si>
  <si>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</si>
  <si>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</si>
  <si>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</si>
  <si>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</si>
  <si>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</si>
  <si>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</si>
  <si>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</si>
  <si>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</si>
  <si>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</si>
  <si>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</si>
  <si>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</si>
  <si>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</si>
  <si>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</si>
  <si>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</si>
  <si>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</si>
  <si>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</si>
  <si>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</si>
  <si>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</si>
  <si>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</si>
  <si>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</si>
  <si>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</si>
  <si>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</si>
  <si>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</si>
  <si>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</si>
  <si>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</si>
  <si>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</si>
  <si>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</si>
  <si>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</si>
  <si>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</si>
  <si>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</si>
  <si>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</si>
  <si>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</si>
  <si>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</si>
  <si>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</si>
  <si>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</si>
  <si>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</si>
  <si>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</si>
  <si>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</si>
  <si>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</si>
  <si>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</si>
  <si>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</si>
  <si>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</si>
  <si>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</si>
  <si>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</si>
  <si>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</si>
  <si>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</si>
  <si>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</si>
  <si>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</si>
  <si>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</si>
  <si>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</si>
  <si>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</si>
  <si>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</si>
  <si>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</si>
  <si>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</si>
  <si>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</si>
  <si>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</si>
  <si>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</si>
  <si>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</si>
  <si>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</si>
  <si>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</si>
  <si>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</si>
  <si>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</si>
  <si>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</si>
  <si>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</si>
  <si>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</si>
  <si>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</si>
  <si>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</si>
  <si>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</si>
  <si>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</si>
  <si>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</si>
  <si>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</si>
  <si>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</si>
  <si>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</si>
  <si>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</si>
  <si>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</si>
  <si>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</si>
  <si>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</si>
  <si>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</si>
  <si>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</si>
  <si>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</si>
  <si>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</si>
  <si>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</si>
  <si>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</si>
  <si>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</si>
  <si>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</si>
  <si>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</si>
  <si>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</si>
  <si>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</si>
  <si>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</si>
  <si>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</si>
  <si>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</si>
  <si>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</si>
  <si>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</si>
  <si>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</si>
  <si>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</si>
  <si>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</si>
  <si>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</si>
  <si>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</si>
  <si>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</si>
  <si>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</si>
  <si>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</si>
  <si>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</si>
  <si>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</si>
  <si>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</si>
  <si>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</si>
  <si>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</si>
  <si>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</si>
  <si>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</si>
  <si>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</si>
  <si>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</si>
  <si>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</si>
  <si>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</si>
  <si>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</si>
  <si>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</si>
  <si>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</si>
  <si>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</si>
  <si>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</si>
  <si>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</si>
  <si>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</si>
  <si>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</si>
  <si>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</si>
  <si>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</si>
  <si>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</si>
  <si>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</si>
  <si>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</si>
  <si>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</si>
  <si>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</si>
  <si>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</si>
  <si>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</si>
  <si>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</si>
  <si>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</si>
  <si>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</si>
  <si>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</si>
  <si>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</si>
  <si>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</si>
  <si>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</si>
  <si>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</si>
  <si>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</si>
  <si>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</si>
  <si>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</si>
  <si>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</si>
  <si>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</si>
  <si>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</si>
  <si>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</si>
  <si>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</si>
  <si>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</si>
  <si>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</si>
  <si>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</si>
  <si>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</si>
  <si>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</si>
  <si>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</si>
  <si>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</si>
  <si>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</si>
  <si>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</si>
  <si>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</si>
  <si>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</si>
  <si>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</si>
  <si>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</si>
  <si>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</si>
  <si>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</si>
  <si>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</si>
  <si>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</si>
  <si>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</si>
  <si>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</si>
  <si>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</si>
  <si>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</si>
  <si>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</si>
  <si>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</si>
  <si>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</si>
  <si>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</si>
  <si>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</si>
  <si>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</si>
  <si>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</si>
  <si>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</si>
  <si>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</si>
  <si>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</si>
  <si>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</si>
  <si>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</si>
  <si>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</si>
  <si>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</si>
  <si>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</si>
  <si>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</si>
  <si>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</si>
  <si>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</si>
  <si>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</si>
  <si>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</si>
  <si>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</si>
  <si>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</si>
  <si>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</si>
  <si>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</si>
  <si>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</si>
  <si>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</si>
  <si>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</si>
  <si>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</si>
  <si>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</si>
  <si>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</si>
  <si>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</si>
  <si>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</si>
  <si>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</si>
  <si>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</si>
  <si>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</si>
  <si>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</si>
  <si>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</si>
  <si>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</si>
  <si>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</si>
  <si>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</si>
  <si>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</si>
  <si>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</si>
  <si>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</si>
  <si>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</si>
  <si>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</si>
  <si>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</si>
  <si>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</si>
  <si>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</si>
  <si>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</si>
  <si>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</si>
  <si>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</si>
  <si>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</si>
  <si>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</si>
  <si>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</si>
  <si>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</si>
  <si>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</si>
  <si>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</si>
  <si>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</si>
  <si>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</si>
  <si>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</si>
  <si>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</si>
  <si>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</si>
  <si>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</si>
  <si>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</si>
  <si>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</si>
  <si>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</si>
  <si>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</si>
  <si>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</si>
  <si>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</si>
  <si>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</si>
  <si>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</si>
  <si>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</si>
  <si>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</si>
  <si>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</si>
  <si>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</si>
  <si>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</si>
  <si>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</si>
  <si>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</si>
  <si>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</si>
  <si>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</si>
  <si>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</si>
  <si>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</si>
  <si>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</si>
  <si>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</si>
  <si>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</si>
  <si>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</si>
  <si>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</si>
  <si>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</si>
  <si>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</si>
  <si>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</si>
  <si>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</si>
  <si>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</si>
  <si>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</si>
  <si>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</si>
  <si>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</si>
  <si>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</si>
  <si>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</si>
  <si>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</si>
  <si>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</si>
  <si>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</si>
  <si>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</si>
  <si>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</si>
  <si>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</si>
  <si>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</si>
  <si>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</si>
  <si>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</si>
  <si>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</si>
  <si>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</si>
  <si>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</si>
  <si>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</si>
  <si>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</si>
  <si>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</si>
  <si>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</si>
  <si>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</si>
  <si>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</si>
  <si>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</si>
  <si>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</si>
  <si>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</si>
  <si>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</si>
  <si>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</si>
  <si>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</si>
  <si>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</si>
  <si>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</si>
  <si>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</si>
  <si>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</si>
  <si>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</si>
  <si>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</si>
  <si>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</si>
  <si>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</si>
  <si>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</si>
  <si>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</si>
  <si>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</si>
  <si>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</si>
  <si>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</si>
  <si>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</si>
  <si>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</si>
  <si>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</si>
  <si>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</si>
  <si>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</si>
  <si>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</si>
  <si>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</si>
  <si>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</si>
  <si>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</si>
  <si>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</si>
  <si>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</si>
  <si>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</si>
  <si>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</si>
  <si>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</si>
  <si>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</si>
  <si>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</si>
  <si>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</si>
  <si>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</si>
  <si>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</si>
  <si>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</si>
  <si>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</si>
  <si>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</si>
  <si>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</si>
  <si>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</si>
  <si>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</si>
  <si>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</si>
  <si>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</si>
  <si>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</si>
  <si>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</si>
  <si>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</si>
  <si>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</si>
  <si>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</si>
  <si>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</si>
  <si>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</si>
  <si>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</si>
  <si>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</si>
  <si>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</si>
  <si>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</si>
  <si>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</si>
  <si>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</si>
  <si>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</si>
  <si>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</si>
  <si>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</si>
  <si>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</si>
  <si>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</si>
  <si>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</si>
  <si>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</si>
  <si>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</si>
  <si>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</si>
  <si>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</si>
  <si>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</si>
  <si>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</si>
  <si>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</si>
  <si>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</si>
  <si>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</si>
  <si>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</si>
  <si>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</si>
  <si>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</si>
  <si>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</si>
  <si>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</si>
  <si>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</si>
  <si>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</si>
  <si>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</si>
  <si>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</si>
  <si>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</si>
  <si>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</si>
  <si>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</si>
  <si>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</si>
  <si>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</si>
  <si>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</si>
  <si>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</si>
  <si>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</si>
  <si>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</si>
  <si>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</si>
  <si>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</si>
  <si>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</si>
  <si>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</si>
  <si>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</si>
  <si>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</si>
  <si>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</si>
  <si>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</si>
  <si>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</si>
  <si>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</si>
  <si>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</si>
  <si>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</si>
  <si>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</si>
  <si>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</si>
  <si>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</si>
  <si>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</si>
  <si>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</si>
  <si>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</si>
  <si>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</si>
  <si>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</si>
  <si>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</si>
  <si>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</si>
  <si>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</si>
  <si>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</si>
  <si>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</si>
  <si>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</si>
  <si>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</si>
  <si>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</si>
  <si>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</si>
  <si>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</si>
  <si>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</si>
  <si>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</si>
  <si>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</si>
  <si>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</si>
  <si>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</si>
  <si>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</si>
  <si>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</si>
  <si>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</si>
  <si>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</si>
  <si>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</si>
  <si>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</si>
  <si>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</si>
  <si>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</si>
  <si>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</si>
  <si>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</si>
  <si>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</si>
  <si>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</si>
  <si>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</si>
  <si>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</si>
  <si>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</si>
  <si>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</si>
  <si>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</si>
  <si>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</si>
  <si>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</si>
  <si>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</si>
  <si>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</si>
  <si>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</si>
  <si>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</si>
  <si>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</si>
  <si>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</si>
  <si>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</si>
  <si>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</si>
  <si>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</si>
  <si>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</si>
  <si>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</si>
  <si>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</si>
  <si>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</si>
  <si>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</si>
  <si>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</si>
  <si>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</si>
  <si>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</si>
  <si>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</si>
  <si>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</si>
  <si>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</si>
  <si>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</si>
  <si>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</si>
  <si>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</si>
  <si>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</si>
  <si>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</si>
  <si>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</si>
  <si>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</si>
  <si>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</si>
  <si>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</si>
  <si>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</si>
  <si>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</si>
  <si>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</si>
  <si>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</si>
  <si>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</si>
  <si>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</si>
  <si>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</si>
  <si>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</si>
  <si>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</si>
  <si>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</si>
  <si>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</si>
  <si>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</si>
  <si>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</si>
  <si>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</si>
  <si>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</si>
  <si>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</si>
  <si>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</si>
  <si>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</si>
  <si>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</si>
  <si>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</si>
  <si>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</si>
  <si>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</si>
  <si>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</si>
  <si>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</si>
  <si>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</si>
  <si>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</si>
  <si>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</si>
  <si>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</si>
  <si>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</si>
  <si>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</si>
  <si>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</si>
  <si>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</si>
  <si>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</si>
  <si>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</si>
  <si>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</si>
  <si>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</si>
  <si>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</si>
  <si>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</si>
  <si>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</si>
  <si>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</si>
  <si>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</si>
  <si>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</si>
  <si>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</si>
  <si>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</si>
  <si>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</si>
  <si>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</si>
  <si>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</si>
  <si>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</si>
  <si>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</si>
  <si>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</si>
  <si>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</si>
  <si>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</si>
  <si>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</si>
  <si>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</si>
  <si>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</si>
  <si>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</si>
  <si>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</si>
  <si>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</si>
  <si>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</si>
  <si>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</si>
  <si>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</si>
  <si>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</si>
  <si>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</si>
  <si>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</si>
  <si>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</si>
  <si>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</si>
  <si>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</si>
  <si>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</si>
  <si>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</si>
  <si>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</si>
  <si>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</si>
  <si>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</si>
  <si>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</si>
  <si>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</si>
  <si>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</si>
  <si>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</si>
  <si>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</si>
  <si>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</si>
  <si>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</si>
  <si>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</si>
  <si>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</si>
  <si>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</si>
  <si>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</si>
  <si>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</si>
  <si>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</si>
  <si>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</si>
  <si>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</si>
  <si>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</si>
  <si>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</si>
  <si>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</si>
  <si>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</si>
  <si>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</si>
  <si>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</si>
  <si>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</si>
  <si>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</si>
  <si>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</si>
  <si>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</si>
  <si>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</si>
  <si>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</si>
  <si>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</si>
  <si>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</si>
  <si>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</si>
  <si>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</si>
  <si>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</si>
  <si>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</si>
  <si>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</si>
  <si>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</si>
  <si>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</si>
  <si>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</si>
  <si>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</si>
  <si>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</si>
  <si>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</si>
  <si>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</si>
  <si>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</si>
  <si>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</si>
  <si>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</si>
  <si>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</si>
  <si>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</si>
  <si>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</si>
  <si>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</si>
  <si>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</si>
  <si>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</si>
  <si>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</si>
  <si>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</si>
  <si>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</si>
  <si>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</si>
  <si>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</si>
  <si>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</si>
  <si>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</si>
  <si>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</si>
  <si>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</si>
  <si>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</si>
  <si>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</si>
  <si>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</si>
  <si>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</si>
  <si>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</si>
  <si>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</si>
  <si>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</si>
  <si>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</si>
  <si>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</si>
  <si>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</si>
  <si>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</si>
  <si>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</si>
  <si>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</si>
  <si>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</si>
  <si>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</si>
  <si>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</si>
  <si>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</si>
  <si>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</si>
  <si>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</si>
  <si>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</si>
  <si>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</si>
  <si>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</si>
  <si>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</si>
  <si>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</si>
  <si>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</si>
  <si>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</si>
  <si>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</si>
  <si>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</si>
  <si>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</si>
  <si>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</si>
  <si>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</si>
  <si>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</si>
  <si>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</si>
  <si>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</si>
  <si>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</si>
  <si>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</si>
  <si>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</si>
  <si>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</si>
  <si>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</si>
  <si>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</si>
  <si>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</si>
  <si>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</si>
  <si>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</si>
  <si>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</si>
  <si>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</si>
  <si>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</si>
  <si>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</si>
  <si>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</si>
  <si>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</si>
  <si>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</si>
  <si>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</si>
  <si>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</si>
  <si>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</si>
  <si>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</si>
  <si>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</si>
  <si>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</si>
  <si>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</si>
  <si>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</si>
  <si>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</si>
  <si>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</si>
  <si>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</si>
  <si>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</si>
  <si>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</si>
  <si>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</si>
  <si>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</si>
  <si>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</si>
  <si>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</si>
  <si>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</si>
  <si>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</si>
  <si>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</si>
  <si>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</si>
  <si>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</si>
  <si>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</si>
  <si>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</si>
  <si>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</si>
  <si>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</si>
  <si>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</si>
  <si>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</si>
  <si>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</si>
  <si>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</si>
  <si>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</si>
  <si>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</si>
  <si>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</si>
  <si>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</si>
  <si>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</si>
  <si>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</si>
  <si>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</si>
  <si>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</si>
  <si>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</si>
  <si>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</si>
  <si>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</si>
  <si>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</si>
  <si>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</si>
  <si>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</si>
  <si>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</si>
  <si>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</si>
  <si>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</si>
  <si>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</si>
  <si>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</si>
  <si>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</si>
  <si>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</si>
  <si>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</si>
  <si>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</si>
  <si>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</si>
  <si>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</si>
  <si>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</si>
  <si>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</si>
  <si>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</si>
  <si>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</si>
  <si>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</si>
  <si>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</si>
  <si>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</si>
  <si>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</si>
  <si>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</si>
  <si>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</si>
  <si>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</si>
  <si>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</si>
  <si>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</si>
  <si>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</si>
  <si>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</si>
  <si>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</si>
  <si>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</si>
  <si>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</si>
  <si>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</si>
  <si>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</si>
  <si>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</si>
  <si>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</si>
  <si>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</si>
  <si>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</si>
  <si>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</si>
  <si>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</si>
  <si>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</si>
  <si>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</si>
  <si>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</si>
  <si>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</si>
  <si>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</si>
  <si>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</si>
  <si>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</si>
  <si>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</si>
  <si>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</si>
  <si>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</si>
  <si>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</si>
  <si>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</si>
  <si>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</si>
  <si>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</si>
  <si>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</si>
  <si>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</si>
  <si>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</si>
  <si>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</si>
  <si>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</si>
  <si>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</si>
  <si>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</si>
  <si>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</si>
  <si>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</si>
  <si>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</si>
  <si>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</si>
  <si>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</si>
  <si>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</si>
  <si>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</si>
  <si>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</si>
  <si>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</si>
  <si>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</si>
  <si>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</si>
  <si>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</si>
  <si>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</si>
  <si>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</si>
  <si>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</si>
  <si>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</si>
  <si>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</si>
  <si>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</si>
  <si>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</si>
  <si>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</si>
  <si>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</si>
  <si>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</si>
  <si>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</si>
  <si>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</si>
  <si>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</si>
  <si>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</si>
  <si>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</si>
  <si>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</si>
  <si>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</si>
  <si>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</si>
  <si>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</si>
  <si>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</si>
  <si>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</si>
  <si>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</si>
  <si>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</si>
  <si>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</si>
  <si>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</si>
  <si>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</si>
  <si>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</si>
  <si>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</si>
  <si>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</si>
  <si>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</si>
  <si>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</si>
  <si>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</si>
  <si>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</si>
  <si>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</si>
  <si>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</si>
  <si>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</si>
  <si>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</si>
  <si>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</si>
  <si>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</si>
  <si>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</si>
  <si>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</si>
  <si>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</si>
  <si>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</si>
  <si>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</si>
  <si>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</si>
  <si>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</si>
  <si>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</si>
  <si>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</si>
  <si>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</si>
  <si>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</si>
  <si>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</si>
  <si>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</si>
  <si>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</si>
  <si>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</si>
  <si>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</si>
  <si>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</si>
  <si>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</si>
  <si>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</si>
  <si>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</si>
  <si>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</si>
  <si>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</si>
  <si>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</si>
  <si>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</si>
  <si>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</si>
  <si>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</si>
  <si>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</si>
  <si>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</si>
  <si>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</si>
  <si>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</si>
  <si>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</si>
  <si>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</si>
  <si>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</si>
  <si>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</si>
  <si>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</si>
  <si>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</si>
  <si>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</si>
  <si>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</si>
  <si>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</si>
  <si>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</si>
  <si>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</si>
  <si>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</si>
  <si>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</si>
  <si>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</si>
  <si>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</si>
  <si>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</si>
  <si>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</si>
  <si>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</si>
  <si>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</si>
  <si>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</si>
  <si>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</si>
  <si>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</si>
  <si>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</si>
  <si>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</si>
  <si>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</si>
  <si>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</si>
  <si>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</si>
  <si>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</si>
  <si>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</si>
  <si>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</si>
  <si>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</si>
  <si>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</si>
  <si>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</si>
  <si>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</si>
  <si>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</si>
  <si>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</si>
  <si>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</si>
  <si>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</si>
  <si>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</si>
  <si>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</si>
  <si>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</si>
  <si>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</si>
  <si>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</si>
  <si>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</si>
  <si>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</si>
  <si>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</si>
  <si>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</si>
  <si>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</si>
  <si>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</si>
  <si>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</si>
  <si>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</si>
  <si>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</si>
  <si>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</si>
  <si>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</si>
  <si>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</si>
  <si>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</si>
  <si>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</si>
  <si>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</si>
  <si>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</si>
  <si>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</si>
  <si>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</si>
  <si>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</si>
  <si>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</si>
  <si>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</si>
  <si>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</si>
  <si>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</si>
  <si>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</si>
  <si>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</si>
  <si>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</si>
  <si>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</si>
  <si>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</si>
  <si>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</si>
  <si>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</si>
  <si>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</si>
  <si>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</si>
  <si>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</si>
  <si>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</si>
  <si>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</si>
  <si>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</si>
  <si>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</si>
  <si>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</si>
  <si>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</si>
  <si>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</si>
  <si>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</si>
  <si>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</si>
  <si>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</si>
  <si>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</si>
  <si>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</si>
  <si>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</si>
  <si>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</si>
  <si>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</si>
  <si>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</si>
  <si>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</si>
  <si>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</si>
  <si>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</si>
  <si>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</si>
  <si>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</si>
  <si>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</si>
  <si>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</si>
  <si>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</si>
  <si>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</si>
  <si>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</si>
  <si>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</si>
  <si>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</si>
  <si>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</si>
  <si>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</si>
  <si>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</si>
  <si>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</si>
  <si>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</si>
  <si>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</si>
  <si>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</si>
  <si>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</si>
  <si>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</si>
  <si>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</si>
  <si>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</si>
  <si>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</si>
  <si>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</si>
  <si>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</si>
  <si>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</si>
  <si>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</si>
  <si>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</si>
  <si>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</si>
  <si>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</si>
  <si>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</si>
  <si>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</si>
  <si>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</si>
  <si>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</si>
  <si>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</si>
  <si>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</si>
  <si>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</si>
  <si>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</si>
  <si>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</si>
  <si>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</si>
  <si>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</si>
  <si>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</si>
  <si>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</si>
  <si>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</si>
  <si>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</si>
  <si>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</si>
  <si>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</si>
  <si>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</si>
  <si>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</si>
  <si>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</si>
  <si>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</si>
  <si>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</si>
  <si>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</si>
  <si>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</si>
  <si>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</si>
  <si>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</si>
  <si>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</si>
  <si>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</si>
  <si>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</si>
  <si>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</si>
  <si>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</si>
  <si>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</si>
  <si>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</si>
  <si>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</si>
  <si>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</si>
  <si>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</si>
  <si>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</si>
  <si>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</si>
  <si>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</si>
  <si>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</si>
  <si>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</si>
  <si>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</si>
  <si>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</si>
  <si>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</si>
  <si>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</si>
  <si>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</si>
  <si>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</si>
  <si>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</si>
  <si>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</si>
  <si>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</si>
  <si>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</si>
  <si>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</si>
  <si>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</si>
  <si>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</si>
  <si>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</si>
  <si>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</si>
  <si>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</si>
  <si>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</si>
  <si>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</si>
  <si>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</si>
  <si>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</si>
  <si>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</si>
  <si>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</si>
  <si>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</si>
  <si>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</si>
  <si>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</si>
  <si>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</si>
  <si>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</si>
  <si>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</si>
  <si>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</si>
  <si>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</si>
  <si>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</si>
  <si>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</si>
  <si>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</si>
  <si>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</si>
  <si>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</si>
  <si>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</si>
  <si>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</si>
  <si>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</si>
  <si>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</si>
  <si>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</si>
  <si>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</si>
  <si>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</si>
  <si>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</si>
  <si>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</si>
  <si>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</si>
  <si>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</si>
  <si>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</si>
  <si>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</si>
  <si>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</si>
  <si>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</si>
  <si>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</si>
  <si>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</si>
  <si>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</si>
  <si>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</si>
  <si>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</si>
  <si>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</si>
  <si>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</si>
  <si>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</si>
  <si>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</si>
  <si>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</si>
  <si>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</si>
  <si>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</si>
  <si>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</si>
  <si>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</si>
  <si>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</si>
  <si>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</si>
  <si>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</si>
  <si>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</si>
  <si>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</si>
  <si>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</si>
  <si>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</si>
  <si>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</si>
  <si>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</si>
  <si>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</si>
  <si>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</si>
  <si>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</si>
  <si>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</si>
  <si>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</si>
  <si>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</si>
  <si>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</si>
  <si>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</si>
  <si>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</si>
  <si>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</si>
  <si>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</si>
  <si>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</si>
  <si>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</si>
  <si>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</si>
  <si>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</si>
  <si>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</si>
  <si>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</si>
  <si>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</si>
  <si>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</si>
  <si>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</si>
  <si>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</si>
  <si>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</si>
  <si>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</si>
  <si>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</si>
  <si>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</si>
  <si>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</si>
  <si>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</si>
  <si>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</si>
  <si>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</si>
  <si>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</si>
  <si>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</si>
  <si>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</si>
  <si>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</si>
  <si>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</si>
  <si>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</si>
  <si>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</si>
  <si>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</si>
  <si>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</si>
  <si>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</si>
  <si>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</si>
  <si>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</si>
  <si>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</si>
  <si>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</si>
  <si>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</si>
  <si>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</si>
  <si>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</si>
  <si>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</si>
  <si>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</si>
  <si>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</si>
  <si>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</si>
  <si>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</si>
  <si>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</si>
  <si>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</si>
  <si>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</si>
  <si>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</si>
  <si>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</si>
  <si>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</si>
  <si>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</si>
  <si>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</si>
  <si>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</si>
  <si>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</si>
  <si>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</si>
  <si>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</si>
  <si>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</si>
  <si>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</si>
  <si>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</si>
  <si>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</si>
  <si>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</si>
  <si>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</si>
  <si>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</si>
  <si>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</si>
  <si>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</si>
  <si>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</si>
  <si>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</si>
  <si>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</si>
  <si>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</si>
  <si>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</si>
  <si>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</si>
  <si>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</si>
  <si>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</si>
  <si>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</si>
  <si>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</si>
  <si>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</si>
  <si>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</si>
  <si>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</si>
  <si>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</si>
  <si>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</si>
  <si>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</si>
  <si>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</si>
  <si>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</si>
  <si>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</si>
  <si>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</si>
  <si>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</si>
  <si>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</si>
  <si>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</si>
  <si>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</si>
  <si>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</si>
  <si>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</si>
  <si>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</si>
  <si>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</si>
  <si>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</si>
  <si>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</si>
  <si>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</si>
  <si>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</si>
  <si>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</si>
  <si>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</si>
  <si>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</si>
  <si>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</si>
  <si>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</si>
  <si>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</si>
  <si>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</si>
  <si>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</si>
  <si>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</si>
  <si>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</si>
  <si>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</si>
  <si>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</si>
  <si>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</si>
  <si>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</si>
  <si>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</si>
  <si>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</si>
  <si>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</si>
  <si>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</si>
  <si>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</si>
  <si>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</si>
  <si>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</si>
  <si>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</si>
  <si>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</si>
  <si>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</si>
  <si>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</si>
  <si>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</si>
  <si>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</si>
  <si>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</si>
  <si>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</si>
  <si>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</si>
  <si>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</si>
  <si>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</si>
  <si>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</si>
  <si>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</si>
  <si>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</si>
  <si>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</si>
  <si>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</si>
  <si>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</si>
  <si>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</si>
  <si>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</si>
  <si>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</si>
  <si>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</si>
  <si>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</si>
  <si>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</si>
  <si>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</si>
  <si>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</si>
  <si>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</si>
  <si>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</si>
  <si>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</si>
  <si>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</si>
  <si>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</si>
  <si>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</si>
  <si>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</si>
  <si>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</si>
  <si>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</si>
  <si>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</si>
  <si>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</si>
  <si>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</si>
  <si>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</si>
  <si>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</si>
  <si>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</si>
  <si>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</si>
  <si>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</si>
  <si>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</si>
  <si>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</si>
  <si>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</si>
  <si>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</si>
  <si>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</si>
  <si>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</si>
  <si>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</si>
  <si>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</si>
  <si>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</si>
  <si>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</si>
  <si>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</si>
  <si>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</si>
  <si>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</si>
  <si>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</si>
  <si>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</si>
  <si>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</si>
  <si>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</si>
  <si>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</si>
  <si>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</si>
  <si>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</si>
  <si>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</si>
  <si>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</si>
  <si>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</si>
  <si>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</si>
  <si>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</si>
  <si>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</si>
  <si>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</si>
  <si>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</si>
  <si>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</si>
  <si>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</si>
  <si>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</si>
  <si>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</si>
  <si>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</si>
  <si>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</si>
  <si>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</si>
  <si>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</si>
  <si>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</si>
  <si>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</si>
  <si>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</si>
  <si>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</si>
  <si>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</si>
  <si>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</si>
  <si>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</si>
  <si>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</si>
  <si>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</si>
  <si>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</si>
  <si>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</si>
  <si>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</si>
  <si>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</si>
  <si>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</si>
  <si>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</si>
  <si>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</si>
  <si>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</si>
  <si>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</si>
  <si>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</si>
  <si>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</si>
  <si>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</si>
  <si>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</si>
  <si>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</si>
  <si>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</si>
  <si>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</si>
  <si>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</si>
  <si>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</si>
  <si>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</si>
  <si>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</si>
  <si>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</si>
  <si>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</si>
  <si>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</si>
  <si>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</si>
  <si>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</si>
  <si>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</si>
  <si>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</si>
  <si>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</si>
  <si>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</si>
  <si>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</si>
  <si>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</si>
  <si>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</si>
  <si>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</si>
  <si>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</si>
  <si>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</si>
  <si>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</si>
  <si>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</si>
  <si>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</si>
  <si>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</si>
  <si>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</si>
  <si>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</si>
  <si>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</si>
  <si>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</si>
  <si>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</si>
  <si>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</si>
  <si>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</si>
  <si>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</si>
  <si>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</si>
  <si>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</si>
  <si>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</si>
  <si>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</si>
  <si>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</si>
  <si>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</si>
  <si>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</si>
  <si>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</si>
  <si>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</si>
  <si>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</si>
  <si>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</si>
  <si>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</si>
  <si>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</si>
  <si>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</si>
  <si>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</si>
  <si>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</si>
  <si>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</si>
  <si>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</si>
  <si>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</si>
  <si>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</si>
  <si>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</si>
  <si>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</si>
  <si>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</si>
  <si>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</si>
  <si>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</si>
  <si>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</si>
  <si>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</si>
  <si>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</si>
  <si>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</si>
  <si>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</si>
  <si>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</si>
  <si>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</si>
  <si>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</si>
  <si>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</si>
  <si>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</si>
  <si>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</si>
  <si>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</si>
  <si>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</si>
  <si>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</si>
  <si>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</si>
  <si>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</si>
  <si>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</si>
  <si>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</si>
  <si>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</si>
  <si>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</si>
  <si>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</si>
  <si>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</si>
  <si>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</si>
  <si>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</si>
  <si>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</si>
  <si>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</si>
  <si>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</si>
  <si>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</si>
  <si>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</si>
  <si>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</si>
  <si>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</si>
  <si>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</si>
  <si>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</si>
  <si>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</si>
  <si>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</si>
  <si>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</si>
  <si>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</si>
  <si>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</si>
  <si>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</si>
  <si>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</si>
  <si>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</si>
  <si>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</si>
  <si>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</si>
  <si>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</si>
  <si>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</si>
  <si>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</si>
  <si>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</si>
  <si>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</si>
  <si>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</si>
  <si>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</si>
  <si>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</si>
  <si>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</si>
  <si>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</si>
  <si>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</si>
  <si>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</si>
  <si>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</si>
  <si>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</si>
  <si>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</si>
  <si>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</si>
  <si>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</si>
  <si>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</si>
  <si>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</si>
  <si>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</si>
  <si>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</si>
  <si>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</si>
  <si>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</si>
  <si>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</si>
  <si>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</si>
  <si>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</si>
  <si>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</si>
  <si>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</si>
  <si>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</si>
  <si>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</si>
  <si>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</si>
  <si>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</si>
  <si>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</si>
  <si>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</si>
  <si>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</si>
  <si>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</si>
  <si>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</si>
  <si>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</si>
  <si>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</si>
  <si>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</si>
  <si>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</si>
  <si>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</si>
  <si>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</si>
  <si>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</si>
  <si>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</si>
  <si>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</si>
  <si>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</si>
  <si>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</si>
  <si>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</si>
  <si>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</si>
  <si>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</si>
  <si>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</si>
  <si>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</si>
  <si>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</si>
  <si>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</si>
  <si>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</si>
  <si>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</si>
  <si>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</si>
  <si>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</si>
  <si>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</si>
  <si>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</si>
  <si>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</si>
  <si>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</si>
  <si>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</si>
  <si>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</si>
  <si>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</si>
  <si>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</si>
  <si>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</si>
  <si>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</si>
  <si>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</si>
  <si>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</si>
  <si>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</si>
  <si>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</si>
  <si>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</si>
  <si>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</si>
  <si>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</si>
  <si>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</si>
  <si>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</si>
  <si>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</si>
  <si>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</si>
  <si>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</si>
  <si>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</si>
  <si>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</si>
  <si>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</si>
  <si>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</si>
  <si>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</si>
  <si>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</si>
  <si>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</si>
  <si>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</si>
  <si>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</si>
  <si>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</si>
  <si>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</si>
  <si>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</si>
  <si>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</si>
  <si>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</si>
  <si>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</si>
  <si>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</si>
  <si>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</si>
  <si>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</si>
  <si>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</si>
  <si>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</si>
  <si>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</si>
  <si>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</si>
  <si>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</si>
  <si>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</si>
  <si>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</si>
  <si>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</si>
  <si>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</si>
  <si>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</si>
  <si>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</si>
  <si>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</si>
  <si>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</si>
  <si>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</si>
  <si>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</si>
  <si>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</si>
  <si>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</si>
  <si>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</si>
  <si>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</si>
  <si>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</si>
  <si>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</si>
  <si>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</si>
  <si>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</si>
  <si>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</si>
  <si>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</si>
  <si>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</si>
  <si>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</si>
  <si>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</si>
  <si>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</si>
  <si>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</si>
  <si>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</si>
  <si>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</si>
  <si>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</si>
  <si>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</si>
  <si>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</si>
  <si>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</si>
  <si>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</si>
  <si>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</si>
  <si>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</si>
  <si>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</si>
  <si>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</si>
  <si>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</si>
  <si>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</si>
  <si>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</si>
  <si>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</si>
  <si>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</si>
  <si>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</si>
  <si>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</si>
  <si>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</si>
  <si>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</si>
  <si>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</si>
  <si>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</si>
  <si>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</si>
  <si>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</si>
  <si>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</si>
  <si>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</si>
  <si>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</si>
  <si>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</si>
  <si>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</si>
  <si>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</si>
  <si>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</si>
  <si>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</si>
  <si>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</si>
  <si>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</si>
  <si>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</si>
  <si>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</si>
  <si>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</si>
  <si>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</si>
  <si>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</si>
  <si>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</si>
  <si>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</si>
  <si>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</si>
  <si>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</si>
  <si>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</si>
  <si>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</si>
  <si>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</si>
  <si>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</si>
  <si>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</si>
  <si>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</si>
  <si>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</si>
  <si>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</si>
  <si>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</si>
  <si>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</si>
  <si>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</si>
  <si>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</si>
  <si>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</si>
  <si>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</si>
  <si>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</si>
  <si>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</si>
  <si>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</si>
  <si>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</si>
  <si>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</si>
  <si>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</si>
  <si>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</si>
  <si>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</si>
  <si>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</si>
  <si>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</si>
  <si>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</si>
  <si>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</si>
  <si>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</si>
  <si>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</si>
  <si>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</si>
  <si>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</si>
  <si>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</si>
  <si>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</si>
  <si>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</si>
  <si>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</si>
  <si>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</si>
  <si>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</si>
  <si>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</si>
  <si>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</si>
  <si>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</si>
  <si>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</si>
  <si>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</si>
  <si>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</si>
  <si>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</si>
  <si>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</si>
  <si>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</si>
  <si>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</si>
  <si>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</si>
  <si>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</si>
  <si>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</si>
  <si>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</si>
  <si>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</si>
  <si>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</si>
  <si>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</si>
  <si>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</si>
  <si>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</si>
  <si>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</si>
  <si>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</si>
  <si>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</si>
  <si>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</si>
  <si>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</si>
  <si>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</si>
  <si>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</si>
  <si>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</si>
  <si>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</si>
  <si>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</si>
  <si>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</si>
  <si>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</si>
  <si>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</si>
  <si>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</si>
  <si>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</si>
  <si>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</si>
  <si>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</si>
  <si>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</si>
  <si>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</si>
  <si>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</si>
  <si>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</si>
  <si>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</si>
  <si>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</si>
  <si>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</si>
  <si>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</si>
  <si>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</si>
  <si>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</si>
  <si>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</si>
  <si>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</si>
  <si>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</si>
  <si>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</si>
  <si>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</si>
  <si>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</si>
  <si>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</si>
  <si>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</si>
  <si>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</si>
  <si>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</si>
  <si>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</si>
  <si>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</si>
  <si>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</si>
  <si>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</si>
  <si>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</si>
  <si>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</si>
  <si>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</si>
  <si>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</si>
  <si>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</si>
  <si>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</si>
  <si>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</si>
  <si>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</si>
  <si>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</si>
  <si>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</si>
  <si>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</si>
  <si>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</si>
  <si>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</si>
  <si>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</si>
  <si>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</si>
  <si>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</si>
  <si>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</si>
  <si>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</si>
  <si>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</si>
  <si>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</si>
  <si>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</si>
  <si>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</si>
  <si>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</si>
  <si>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</si>
  <si>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</si>
  <si>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</si>
  <si>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</si>
  <si>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</si>
  <si>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</si>
  <si>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</si>
  <si>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</si>
  <si>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</si>
  <si>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</si>
  <si>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</si>
  <si>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</si>
  <si>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</si>
  <si>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</si>
  <si>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</si>
  <si>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</si>
  <si>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</si>
  <si>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</si>
  <si>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</si>
  <si>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</si>
  <si>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</si>
  <si>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</si>
  <si>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</si>
  <si>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</si>
  <si>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</si>
  <si>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</si>
  <si>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</si>
  <si>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</si>
  <si>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</si>
  <si>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</si>
  <si>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</si>
  <si>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</si>
  <si>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</si>
  <si>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</si>
  <si>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</si>
  <si>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</si>
  <si>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</si>
  <si>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</si>
  <si>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</si>
  <si>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</si>
  <si>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</si>
  <si>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</si>
  <si>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</si>
  <si>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</si>
  <si>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</si>
  <si>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</si>
  <si>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</si>
  <si>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</si>
  <si>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</si>
  <si>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</si>
  <si>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</si>
  <si>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</si>
  <si>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</si>
  <si>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</si>
  <si>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</si>
  <si>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</si>
  <si>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</si>
  <si>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</si>
  <si>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</si>
  <si>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</si>
  <si>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</si>
  <si>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</si>
  <si>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</si>
  <si>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</si>
  <si>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</si>
  <si>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</si>
  <si>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</si>
  <si>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</si>
  <si>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</si>
  <si>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</si>
  <si>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</si>
  <si>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</si>
  <si>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</si>
  <si>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</si>
  <si>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</si>
  <si>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</si>
  <si>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</si>
  <si>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</si>
  <si>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</si>
  <si>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</si>
  <si>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</si>
  <si>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</si>
  <si>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</si>
  <si>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</si>
  <si>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</si>
  <si>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</si>
  <si>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</si>
  <si>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</si>
  <si>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</si>
  <si>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</si>
  <si>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</si>
  <si>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</si>
  <si>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</si>
  <si>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</si>
  <si>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</si>
  <si>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</si>
  <si>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</si>
  <si>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</si>
  <si>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</si>
  <si>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</si>
  <si>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</si>
  <si>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</si>
  <si>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</si>
  <si>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</si>
  <si>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</si>
  <si>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</si>
  <si>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</si>
  <si>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</si>
  <si>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</si>
  <si>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</si>
  <si>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</si>
  <si>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</si>
  <si>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</si>
  <si>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</si>
  <si>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</si>
  <si>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</si>
  <si>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</si>
  <si>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</si>
  <si>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</si>
  <si>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</si>
  <si>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</si>
  <si>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</si>
  <si>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</si>
  <si>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</si>
  <si>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</si>
  <si>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</si>
  <si>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</si>
  <si>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</si>
  <si>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</si>
  <si>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</si>
  <si>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</si>
  <si>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</si>
  <si>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</si>
  <si>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</si>
  <si>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</si>
  <si>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</si>
  <si>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</si>
  <si>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</si>
  <si>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</si>
  <si>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</si>
  <si>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</si>
  <si>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</si>
  <si>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</si>
  <si>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</si>
  <si>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</si>
  <si>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</si>
  <si>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</si>
  <si>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</si>
  <si>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</si>
  <si>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</si>
  <si>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</si>
  <si>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</si>
  <si>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</si>
  <si>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</si>
  <si>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</si>
  <si>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</si>
  <si>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</si>
  <si>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</si>
  <si>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</si>
  <si>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</si>
  <si>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</si>
  <si>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</si>
  <si>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</si>
  <si>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</si>
  <si>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</si>
  <si>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</si>
  <si>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</si>
  <si>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</si>
  <si>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</si>
  <si>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</si>
  <si>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</si>
  <si>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</si>
  <si>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</si>
  <si>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</si>
  <si>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</si>
  <si>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</si>
  <si>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</si>
  <si>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</si>
  <si>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</si>
  <si>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</si>
  <si>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</si>
  <si>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</si>
  <si>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</si>
  <si>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</si>
  <si>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</si>
  <si>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</si>
  <si>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</si>
  <si>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</si>
  <si>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</si>
  <si>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</si>
  <si>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</si>
  <si>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</si>
  <si>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</si>
  <si>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</si>
  <si>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</si>
  <si>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</si>
  <si>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</si>
  <si>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</si>
  <si>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</si>
  <si>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</si>
  <si>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</si>
  <si>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</si>
  <si>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</si>
  <si>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</si>
  <si>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</si>
  <si>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</si>
  <si>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</si>
  <si>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</si>
  <si>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</si>
  <si>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</si>
  <si>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</si>
  <si>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</si>
  <si>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</si>
  <si>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</si>
  <si>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</si>
  <si>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</si>
  <si>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</si>
  <si>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</si>
  <si>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</si>
  <si>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</si>
  <si>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</si>
  <si>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</si>
  <si>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</si>
  <si>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</si>
  <si>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</si>
  <si>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</si>
  <si>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</si>
  <si>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</si>
  <si>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</si>
  <si>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</si>
  <si>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</si>
  <si>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</si>
  <si>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</si>
  <si>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</si>
  <si>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</si>
  <si>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</si>
  <si>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</si>
  <si>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</si>
  <si>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</si>
  <si>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</si>
  <si>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</si>
  <si>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</si>
  <si>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</si>
  <si>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</si>
  <si>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</si>
  <si>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</si>
  <si>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</si>
  <si>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</si>
  <si>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</si>
  <si>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</si>
  <si>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</si>
  <si>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</si>
  <si>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</si>
  <si>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</si>
  <si>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</si>
  <si>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</si>
  <si>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</si>
  <si>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</si>
  <si>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</si>
  <si>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</si>
  <si>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</si>
  <si>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</si>
  <si>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</si>
  <si>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</si>
  <si>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</si>
  <si>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</si>
  <si>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</si>
  <si>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</si>
  <si>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</si>
  <si>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</si>
  <si>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</si>
  <si>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</si>
  <si>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</si>
  <si>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</si>
  <si>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</si>
  <si>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</si>
  <si>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</si>
  <si>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</si>
  <si>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</si>
  <si>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</si>
  <si>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</si>
  <si>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</si>
  <si>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</si>
  <si>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</si>
  <si>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</si>
  <si>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</si>
  <si>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</si>
  <si>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</si>
  <si>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</si>
  <si>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</si>
  <si>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</si>
  <si>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</si>
  <si>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</si>
  <si>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</si>
  <si>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</si>
  <si>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</si>
  <si>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</si>
  <si>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</si>
  <si>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</si>
  <si>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</si>
  <si>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</si>
  <si>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</si>
  <si>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</si>
  <si>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</si>
  <si>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</si>
  <si>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</si>
  <si>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</si>
  <si>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</si>
  <si>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</si>
  <si>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</si>
  <si>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</si>
  <si>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</si>
  <si>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</si>
  <si>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</si>
  <si>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</si>
  <si>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</si>
  <si>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</si>
  <si>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</si>
  <si>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</si>
  <si>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</si>
  <si>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</si>
  <si>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</si>
  <si>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</si>
  <si>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</si>
  <si>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</si>
  <si>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</si>
  <si>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</si>
  <si>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</si>
  <si>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</si>
  <si>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</si>
  <si>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</si>
  <si>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</si>
  <si>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</si>
  <si>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</si>
  <si>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</si>
  <si>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</si>
  <si>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</si>
  <si>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</si>
  <si>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</si>
  <si>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</si>
  <si>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</si>
  <si>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</si>
  <si>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</si>
  <si>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</si>
  <si>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</si>
  <si>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</si>
  <si>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</si>
  <si>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</si>
  <si>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</si>
  <si>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</si>
  <si>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</si>
  <si>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</si>
  <si>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</si>
  <si>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</si>
  <si>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</si>
  <si>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</si>
  <si>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</si>
  <si>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</si>
  <si>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</si>
  <si>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</si>
  <si>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</si>
  <si>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</si>
  <si>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</si>
  <si>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</si>
  <si>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</si>
  <si>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</si>
  <si>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</si>
  <si>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</si>
  <si>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</si>
  <si>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</si>
  <si>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</si>
  <si>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</si>
  <si>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</si>
  <si>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</si>
  <si>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</si>
  <si>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</si>
  <si>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</si>
  <si>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</si>
  <si>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</si>
  <si>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</si>
  <si>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</si>
  <si>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</si>
  <si>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</si>
  <si>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</si>
  <si>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</si>
  <si>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</si>
  <si>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</si>
  <si>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</si>
  <si>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</si>
  <si>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</si>
  <si>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</si>
  <si>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</si>
  <si>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</si>
  <si>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</si>
  <si>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</si>
  <si>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</si>
  <si>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</si>
  <si>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</si>
  <si>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</si>
  <si>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</si>
  <si>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</si>
  <si>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</si>
  <si>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</si>
  <si>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</si>
  <si>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</si>
  <si>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</si>
  <si>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</si>
  <si>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</si>
  <si>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</si>
  <si>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</si>
  <si>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</si>
  <si>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</si>
  <si>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</si>
  <si>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</si>
  <si>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</si>
  <si>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</si>
  <si>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</si>
  <si>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</si>
  <si>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</si>
  <si>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</si>
  <si>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</si>
  <si>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</si>
  <si>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</si>
  <si>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</si>
  <si>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</si>
  <si>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</si>
  <si>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</si>
  <si>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</si>
  <si>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</si>
  <si>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</si>
  <si>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</si>
  <si>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</si>
  <si>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</si>
  <si>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</si>
  <si>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</si>
  <si>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</si>
  <si>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</si>
  <si>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</si>
  <si>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</si>
  <si>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</si>
  <si>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</si>
  <si>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</si>
  <si>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</si>
  <si>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</si>
  <si>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</si>
  <si>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</si>
  <si>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</si>
  <si>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</si>
  <si>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</si>
  <si>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</si>
  <si>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</si>
  <si>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</si>
  <si>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</si>
  <si>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</si>
  <si>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</si>
  <si>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</si>
  <si>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</si>
  <si>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</si>
  <si>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</si>
  <si>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</si>
  <si>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Colums Items</t>
  </si>
  <si>
    <t>Description</t>
  </si>
  <si>
    <t>Data type</t>
  </si>
  <si>
    <t>Business relevance</t>
  </si>
  <si>
    <t>Unique ID assigned to each order</t>
  </si>
  <si>
    <t>Date when the order was placed</t>
  </si>
  <si>
    <t>Unique ID assigned to each customer</t>
  </si>
  <si>
    <t>Name of the customer</t>
  </si>
  <si>
    <t>Age of the customer</t>
  </si>
  <si>
    <t>Gender of the customer</t>
  </si>
  <si>
    <t>City where the customer is located</t>
  </si>
  <si>
    <t>Product purchased by the customer</t>
  </si>
  <si>
    <t>Category of the purchased product</t>
  </si>
  <si>
    <t>Number of items purchased</t>
  </si>
  <si>
    <t>Price of one unit of the product</t>
  </si>
  <si>
    <t>Total value of the order</t>
  </si>
  <si>
    <t>Text</t>
  </si>
  <si>
    <t>Date</t>
  </si>
  <si>
    <t>Integer</t>
  </si>
  <si>
    <t>Decimal</t>
  </si>
  <si>
    <t>Used to uniquely identify and track each order</t>
  </si>
  <si>
    <t>Used to analyze sales trends over different dates, days, months, or periods</t>
  </si>
  <si>
    <t>Used to identify customers and analyze their purchasing behavior</t>
  </si>
  <si>
    <t>Used to identify customers and connect orders to customer information</t>
  </si>
  <si>
    <t>Used to understand customer demographics and analyze purchasing behavior by age group</t>
  </si>
  <si>
    <t>Used to analyze customer demographics and compare purchasing patterns</t>
  </si>
  <si>
    <t>Used to analyze sales and customer distribution by location</t>
  </si>
  <si>
    <t>Used to identify which products are being purchased and measure product performance</t>
  </si>
  <si>
    <t>Used to compare sales performance across different product categories</t>
  </si>
  <si>
    <t>Used to measure the number of products sold and analyze sales volume</t>
  </si>
  <si>
    <t>Used to analyze product pricing and calculate sales value</t>
  </si>
  <si>
    <t>Used to measure revenue and analyze overall sales performance</t>
  </si>
  <si>
    <t>Column</t>
  </si>
  <si>
    <t>Issue</t>
  </si>
  <si>
    <t>Count</t>
  </si>
  <si>
    <t>Action/Observation</t>
  </si>
  <si>
    <t>Missing Values</t>
  </si>
  <si>
    <t>To be handled during data cleaning</t>
  </si>
  <si>
    <t>Duplicate Records</t>
  </si>
  <si>
    <t>No duplicate records found</t>
  </si>
  <si>
    <t xml:space="preserve"> All columns</t>
  </si>
  <si>
    <t>Inconsistent Formatting</t>
  </si>
  <si>
    <t>No inconsistency found</t>
  </si>
  <si>
    <t xml:space="preserve"> Insconsistent  Formatting</t>
  </si>
  <si>
    <t>Q1</t>
  </si>
  <si>
    <t>Q3</t>
  </si>
  <si>
    <t>IQR</t>
  </si>
  <si>
    <t>Lower Limit</t>
  </si>
  <si>
    <t>Upper Limit</t>
  </si>
  <si>
    <t>Outliers</t>
  </si>
  <si>
    <t>No outliers found</t>
  </si>
  <si>
    <t>LowerLimit</t>
  </si>
  <si>
    <t>Review extreme sales values and verify against source data</t>
  </si>
  <si>
    <t xml:space="preserve"> Numerical Column</t>
  </si>
  <si>
    <t xml:space="preserve"> Count</t>
  </si>
  <si>
    <t>Mean</t>
  </si>
  <si>
    <t>Median</t>
  </si>
  <si>
    <t>Mode</t>
  </si>
  <si>
    <t>Minimum</t>
  </si>
  <si>
    <t>Maximum</t>
  </si>
  <si>
    <t>Standard Deviation</t>
  </si>
  <si>
    <t xml:space="preserve"> Unit_Price</t>
  </si>
  <si>
    <t xml:space="preserve">Education </t>
  </si>
  <si>
    <t>Hyderbad</t>
  </si>
  <si>
    <t>A</t>
  </si>
  <si>
    <t>B</t>
  </si>
  <si>
    <t>KPI</t>
  </si>
  <si>
    <t>Value</t>
  </si>
  <si>
    <t>Total Revenue</t>
  </si>
  <si>
    <t>Total Orders</t>
  </si>
  <si>
    <t>Total Quantity Sold</t>
  </si>
  <si>
    <t>Average Order Value</t>
  </si>
  <si>
    <t>Total Customers</t>
  </si>
  <si>
    <t>Total Cities</t>
  </si>
  <si>
    <t>SALES &amp; CUSTOMER ANALYTICS DASHBOARD</t>
  </si>
  <si>
    <t>TOTAL REVENUE</t>
  </si>
  <si>
    <t>TOTAL ORDERS</t>
  </si>
  <si>
    <t>QUANTITY SOLD</t>
  </si>
  <si>
    <t>AVG ORDER VALUE</t>
  </si>
  <si>
    <t>TOTAL CUSTOMERS</t>
  </si>
  <si>
    <t>TOTAL CITIES</t>
  </si>
  <si>
    <t>Row Labels</t>
  </si>
  <si>
    <t>Grand Total</t>
  </si>
  <si>
    <t>clea</t>
  </si>
  <si>
    <t>Sum of Total_Sales</t>
  </si>
  <si>
    <t>Unit Price VS Total Sales</t>
  </si>
  <si>
    <t>TotalSales</t>
  </si>
  <si>
    <t>Unit Price</t>
  </si>
  <si>
    <t>Total Sales</t>
  </si>
  <si>
    <t xml:space="preserve">Unit Price  </t>
  </si>
  <si>
    <t>Correlation Heatmap</t>
  </si>
  <si>
    <t>Key Business Insights</t>
  </si>
  <si>
    <t>Quantity VS Total Sales</t>
  </si>
  <si>
    <t>Age VS Total Sales</t>
  </si>
  <si>
    <t xml:space="preserve">Quantity VS Unit Price </t>
  </si>
  <si>
    <t>Strong Postive Realtionship</t>
  </si>
  <si>
    <t>Moderate-to-Strong Postive Relationship</t>
  </si>
  <si>
    <t>Almost no Realtionship</t>
  </si>
  <si>
    <t>Realtionship</t>
  </si>
  <si>
    <t>Corrrelation</t>
  </si>
  <si>
    <t xml:space="preserve">Interpreation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</si>
</sst>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7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0" fillId="0" borderId="0" xfId="0" applyNumberFormat="1"/>
    <xf numFmtId="0" fontId="0" fillId="0" borderId="0" xfId="0" applyNumberFormat="1"/>
    <xf numFmtId="2" fontId="0" fillId="0" borderId="0" xfId="1" applyNumberFormat="1" applyFont="1"/>
    <xf numFmtId="2" fontId="1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4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[Internship_Dataset_Working.xlsx.xlsx]Sheet10!PivotTable2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103023"/>
        <c:axId val="306572463"/>
      </c:barChart>
      <c:catAx>
        <c:axId val="4951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72463"/>
        <c:crosses val="autoZero"/>
        <c:auto val="1"/>
        <c:lblAlgn val="ctr"/>
        <c:lblOffset val="100"/>
        <c:noMultiLvlLbl val="0"/>
      </c:catAx>
      <c:valAx>
        <c:axId val="3065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[Internship_Dataset_Working.xlsx.xlsx]Sheet1!PivotTable1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Sheet1!$A$4:$A$346</c:f>
              <c:strCache>
                <c:ptCount val="342"/>
                <c:pt idx="0">
                  <c:v>2025-01-01</c:v>
                </c:pt>
                <c:pt idx="1">
                  <c:v>2025-01-04</c:v>
                </c:pt>
                <c:pt idx="2">
                  <c:v>2025-01-05</c:v>
                </c:pt>
                <c:pt idx="3">
                  <c:v>2025-01-06</c:v>
                </c:pt>
                <c:pt idx="4">
                  <c:v>2025-01-07</c:v>
                </c:pt>
                <c:pt idx="5">
                  <c:v>2025-01-08</c:v>
                </c:pt>
                <c:pt idx="6">
                  <c:v>2025-01-09</c:v>
                </c:pt>
                <c:pt idx="7">
                  <c:v>2025-01-10</c:v>
                </c:pt>
                <c:pt idx="8">
                  <c:v>2025-01-11</c:v>
                </c:pt>
                <c:pt idx="9">
                  <c:v>2025-01-13</c:v>
                </c:pt>
                <c:pt idx="10">
                  <c:v>2025-01-14</c:v>
                </c:pt>
                <c:pt idx="11">
                  <c:v>2025-01-15</c:v>
                </c:pt>
                <c:pt idx="12">
                  <c:v>2025-01-16</c:v>
                </c:pt>
                <c:pt idx="13">
                  <c:v>2025-01-17</c:v>
                </c:pt>
                <c:pt idx="14">
                  <c:v>2025-01-18</c:v>
                </c:pt>
                <c:pt idx="15">
                  <c:v>2025-01-19</c:v>
                </c:pt>
                <c:pt idx="16">
                  <c:v>2025-01-20</c:v>
                </c:pt>
                <c:pt idx="17">
                  <c:v>2025-01-21</c:v>
                </c:pt>
                <c:pt idx="18">
                  <c:v>2025-01-22</c:v>
                </c:pt>
                <c:pt idx="19">
                  <c:v>2025-01-23</c:v>
                </c:pt>
                <c:pt idx="20">
                  <c:v>2025-01-24</c:v>
                </c:pt>
                <c:pt idx="21">
                  <c:v>2025-01-25</c:v>
                </c:pt>
                <c:pt idx="22">
                  <c:v>2025-01-26</c:v>
                </c:pt>
                <c:pt idx="23">
                  <c:v>2025-01-27</c:v>
                </c:pt>
                <c:pt idx="24">
                  <c:v>2025-01-28</c:v>
                </c:pt>
                <c:pt idx="25">
                  <c:v>2025-01-29</c:v>
                </c:pt>
                <c:pt idx="26">
                  <c:v>2025-01-30</c:v>
                </c:pt>
                <c:pt idx="27">
                  <c:v>2025-01-31</c:v>
                </c:pt>
                <c:pt idx="28">
                  <c:v>2025-02-02</c:v>
                </c:pt>
                <c:pt idx="29">
                  <c:v>2025-02-03</c:v>
                </c:pt>
                <c:pt idx="30">
                  <c:v>2025-02-04</c:v>
                </c:pt>
                <c:pt idx="31">
                  <c:v>2025-02-05</c:v>
                </c:pt>
                <c:pt idx="32">
                  <c:v>2025-02-07</c:v>
                </c:pt>
                <c:pt idx="33">
                  <c:v>2025-02-08</c:v>
                </c:pt>
                <c:pt idx="34">
                  <c:v>2025-02-09</c:v>
                </c:pt>
                <c:pt idx="35">
                  <c:v>2025-02-10</c:v>
                </c:pt>
                <c:pt idx="36">
                  <c:v>2025-02-11</c:v>
                </c:pt>
                <c:pt idx="37">
                  <c:v>2025-02-12</c:v>
                </c:pt>
                <c:pt idx="38">
                  <c:v>2025-02-13</c:v>
                </c:pt>
                <c:pt idx="39">
                  <c:v>2025-02-14</c:v>
                </c:pt>
                <c:pt idx="40">
                  <c:v>2025-02-15</c:v>
                </c:pt>
                <c:pt idx="41">
                  <c:v>2025-02-16</c:v>
                </c:pt>
                <c:pt idx="42">
                  <c:v>2025-02-17</c:v>
                </c:pt>
                <c:pt idx="43">
                  <c:v>2025-02-19</c:v>
                </c:pt>
                <c:pt idx="44">
                  <c:v>2025-02-20</c:v>
                </c:pt>
                <c:pt idx="45">
                  <c:v>2025-02-21</c:v>
                </c:pt>
                <c:pt idx="46">
                  <c:v>2025-02-22</c:v>
                </c:pt>
                <c:pt idx="47">
                  <c:v>2025-02-23</c:v>
                </c:pt>
                <c:pt idx="48">
                  <c:v>2025-02-24</c:v>
                </c:pt>
                <c:pt idx="49">
                  <c:v>2025-02-25</c:v>
                </c:pt>
                <c:pt idx="50">
                  <c:v>2025-02-26</c:v>
                </c:pt>
                <c:pt idx="51">
                  <c:v>2025-02-27</c:v>
                </c:pt>
                <c:pt idx="52">
                  <c:v>2025-02-28</c:v>
                </c:pt>
                <c:pt idx="53">
                  <c:v>2025-03-01</c:v>
                </c:pt>
                <c:pt idx="54">
                  <c:v>2025-03-02</c:v>
                </c:pt>
                <c:pt idx="55">
                  <c:v>2025-03-03</c:v>
                </c:pt>
                <c:pt idx="56">
                  <c:v>2025-03-04</c:v>
                </c:pt>
                <c:pt idx="57">
                  <c:v>2025-03-05</c:v>
                </c:pt>
                <c:pt idx="58">
                  <c:v>2025-03-07</c:v>
                </c:pt>
                <c:pt idx="59">
                  <c:v>2025-03-08</c:v>
                </c:pt>
                <c:pt idx="60">
                  <c:v>2025-03-09</c:v>
                </c:pt>
                <c:pt idx="61">
                  <c:v>2025-03-10</c:v>
                </c:pt>
                <c:pt idx="62">
                  <c:v>2025-03-11</c:v>
                </c:pt>
                <c:pt idx="63">
                  <c:v>2025-03-12</c:v>
                </c:pt>
                <c:pt idx="64">
                  <c:v>2025-03-13</c:v>
                </c:pt>
                <c:pt idx="65">
                  <c:v>2025-03-16</c:v>
                </c:pt>
                <c:pt idx="66">
                  <c:v>2025-03-17</c:v>
                </c:pt>
                <c:pt idx="67">
                  <c:v>2025-03-18</c:v>
                </c:pt>
                <c:pt idx="68">
                  <c:v>2025-03-19</c:v>
                </c:pt>
                <c:pt idx="69">
                  <c:v>2025-03-20</c:v>
                </c:pt>
                <c:pt idx="70">
                  <c:v>2025-03-21</c:v>
                </c:pt>
                <c:pt idx="71">
                  <c:v>2025-03-22</c:v>
                </c:pt>
                <c:pt idx="72">
                  <c:v>2025-03-23</c:v>
                </c:pt>
                <c:pt idx="73">
                  <c:v>2025-03-25</c:v>
                </c:pt>
                <c:pt idx="74">
                  <c:v>2025-03-26</c:v>
                </c:pt>
                <c:pt idx="75">
                  <c:v>2025-03-27</c:v>
                </c:pt>
                <c:pt idx="76">
                  <c:v>2025-03-28</c:v>
                </c:pt>
                <c:pt idx="77">
                  <c:v>2025-03-29</c:v>
                </c:pt>
                <c:pt idx="78">
                  <c:v>2025-03-30</c:v>
                </c:pt>
                <c:pt idx="79">
                  <c:v>2025-03-31</c:v>
                </c:pt>
                <c:pt idx="80">
                  <c:v>2025-04-01</c:v>
                </c:pt>
                <c:pt idx="81">
                  <c:v>2025-04-02</c:v>
                </c:pt>
                <c:pt idx="82">
                  <c:v>2025-04-03</c:v>
                </c:pt>
                <c:pt idx="83">
                  <c:v>2025-04-04</c:v>
                </c:pt>
                <c:pt idx="84">
                  <c:v>2025-04-05</c:v>
                </c:pt>
                <c:pt idx="85">
                  <c:v>2025-04-06</c:v>
                </c:pt>
                <c:pt idx="86">
                  <c:v>2025-04-07</c:v>
                </c:pt>
                <c:pt idx="87">
                  <c:v>2025-04-08</c:v>
                </c:pt>
                <c:pt idx="88">
                  <c:v>2025-04-09</c:v>
                </c:pt>
                <c:pt idx="89">
                  <c:v>2025-04-10</c:v>
                </c:pt>
                <c:pt idx="90">
                  <c:v>2025-04-11</c:v>
                </c:pt>
                <c:pt idx="91">
                  <c:v>2025-04-12</c:v>
                </c:pt>
                <c:pt idx="92">
                  <c:v>2025-04-13</c:v>
                </c:pt>
                <c:pt idx="93">
                  <c:v>2025-04-14</c:v>
                </c:pt>
                <c:pt idx="94">
                  <c:v>2025-04-15</c:v>
                </c:pt>
                <c:pt idx="95">
                  <c:v>2025-04-16</c:v>
                </c:pt>
                <c:pt idx="96">
                  <c:v>2025-04-17</c:v>
                </c:pt>
                <c:pt idx="97">
                  <c:v>2025-04-18</c:v>
                </c:pt>
                <c:pt idx="98">
                  <c:v>2025-04-19</c:v>
                </c:pt>
                <c:pt idx="99">
                  <c:v>2025-04-20</c:v>
                </c:pt>
                <c:pt idx="100">
                  <c:v>2025-04-21</c:v>
                </c:pt>
                <c:pt idx="101">
                  <c:v>2025-04-22</c:v>
                </c:pt>
                <c:pt idx="102">
                  <c:v>2025-04-23</c:v>
                </c:pt>
                <c:pt idx="103">
                  <c:v>2025-04-24</c:v>
                </c:pt>
                <c:pt idx="104">
                  <c:v>2025-04-25</c:v>
                </c:pt>
                <c:pt idx="105">
                  <c:v>2025-04-26</c:v>
                </c:pt>
                <c:pt idx="106">
                  <c:v>2025-04-27</c:v>
                </c:pt>
                <c:pt idx="107">
                  <c:v>2025-04-28</c:v>
                </c:pt>
                <c:pt idx="108">
                  <c:v>2025-04-29</c:v>
                </c:pt>
                <c:pt idx="109">
                  <c:v>2025-04-30</c:v>
                </c:pt>
                <c:pt idx="110">
                  <c:v>2025-05-01</c:v>
                </c:pt>
                <c:pt idx="111">
                  <c:v>2025-05-02</c:v>
                </c:pt>
                <c:pt idx="112">
                  <c:v>2025-05-03</c:v>
                </c:pt>
                <c:pt idx="113">
                  <c:v>2025-05-04</c:v>
                </c:pt>
                <c:pt idx="114">
                  <c:v>2025-05-05</c:v>
                </c:pt>
                <c:pt idx="115">
                  <c:v>2025-05-06</c:v>
                </c:pt>
                <c:pt idx="116">
                  <c:v>2025-05-07</c:v>
                </c:pt>
                <c:pt idx="117">
                  <c:v>2025-05-08</c:v>
                </c:pt>
                <c:pt idx="118">
                  <c:v>2025-05-09</c:v>
                </c:pt>
                <c:pt idx="119">
                  <c:v>2025-05-10</c:v>
                </c:pt>
                <c:pt idx="120">
                  <c:v>2025-05-11</c:v>
                </c:pt>
                <c:pt idx="121">
                  <c:v>2025-05-12</c:v>
                </c:pt>
                <c:pt idx="122">
                  <c:v>2025-05-13</c:v>
                </c:pt>
                <c:pt idx="123">
                  <c:v>2025-05-14</c:v>
                </c:pt>
                <c:pt idx="124">
                  <c:v>2025-05-15</c:v>
                </c:pt>
                <c:pt idx="125">
                  <c:v>2025-05-16</c:v>
                </c:pt>
                <c:pt idx="126">
                  <c:v>2025-05-17</c:v>
                </c:pt>
                <c:pt idx="127">
                  <c:v>2025-05-18</c:v>
                </c:pt>
                <c:pt idx="128">
                  <c:v>2025-05-19</c:v>
                </c:pt>
                <c:pt idx="129">
                  <c:v>2025-05-20</c:v>
                </c:pt>
                <c:pt idx="130">
                  <c:v>2025-05-21</c:v>
                </c:pt>
                <c:pt idx="131">
                  <c:v>2025-05-22</c:v>
                </c:pt>
                <c:pt idx="132">
                  <c:v>2025-05-24</c:v>
                </c:pt>
                <c:pt idx="133">
                  <c:v>2025-05-26</c:v>
                </c:pt>
                <c:pt idx="134">
                  <c:v>2025-05-27</c:v>
                </c:pt>
                <c:pt idx="135">
                  <c:v>2025-05-28</c:v>
                </c:pt>
                <c:pt idx="136">
                  <c:v>2025-05-29</c:v>
                </c:pt>
                <c:pt idx="137">
                  <c:v>2025-05-30</c:v>
                </c:pt>
                <c:pt idx="138">
                  <c:v>2025-05-31</c:v>
                </c:pt>
                <c:pt idx="139">
                  <c:v>2025-06-01</c:v>
                </c:pt>
                <c:pt idx="140">
                  <c:v>2025-06-02</c:v>
                </c:pt>
                <c:pt idx="141">
                  <c:v>2025-06-03</c:v>
                </c:pt>
                <c:pt idx="142">
                  <c:v>2025-06-04</c:v>
                </c:pt>
                <c:pt idx="143">
                  <c:v>2025-06-05</c:v>
                </c:pt>
                <c:pt idx="144">
                  <c:v>2025-06-06</c:v>
                </c:pt>
                <c:pt idx="145">
                  <c:v>2025-06-07</c:v>
                </c:pt>
                <c:pt idx="146">
                  <c:v>2025-06-08</c:v>
                </c:pt>
                <c:pt idx="147">
                  <c:v>2025-06-10</c:v>
                </c:pt>
                <c:pt idx="148">
                  <c:v>2025-06-11</c:v>
                </c:pt>
                <c:pt idx="149">
                  <c:v>2025-06-12</c:v>
                </c:pt>
                <c:pt idx="150">
                  <c:v>2025-06-13</c:v>
                </c:pt>
                <c:pt idx="151">
                  <c:v>2025-06-14</c:v>
                </c:pt>
                <c:pt idx="152">
                  <c:v>2025-06-15</c:v>
                </c:pt>
                <c:pt idx="153">
                  <c:v>2025-06-16</c:v>
                </c:pt>
                <c:pt idx="154">
                  <c:v>2025-06-17</c:v>
                </c:pt>
                <c:pt idx="155">
                  <c:v>2025-06-18</c:v>
                </c:pt>
                <c:pt idx="156">
                  <c:v>2025-06-19</c:v>
                </c:pt>
                <c:pt idx="157">
                  <c:v>2025-06-20</c:v>
                </c:pt>
                <c:pt idx="158">
                  <c:v>2025-06-21</c:v>
                </c:pt>
                <c:pt idx="159">
                  <c:v>2025-06-22</c:v>
                </c:pt>
                <c:pt idx="160">
                  <c:v>2025-06-24</c:v>
                </c:pt>
                <c:pt idx="161">
                  <c:v>2025-06-25</c:v>
                </c:pt>
                <c:pt idx="162">
                  <c:v>2025-06-26</c:v>
                </c:pt>
                <c:pt idx="163">
                  <c:v>2025-06-27</c:v>
                </c:pt>
                <c:pt idx="164">
                  <c:v>2025-06-28</c:v>
                </c:pt>
                <c:pt idx="165">
                  <c:v>2025-06-29</c:v>
                </c:pt>
                <c:pt idx="166">
                  <c:v>2025-06-30</c:v>
                </c:pt>
                <c:pt idx="167">
                  <c:v>2025-07-01</c:v>
                </c:pt>
                <c:pt idx="168">
                  <c:v>2025-07-03</c:v>
                </c:pt>
                <c:pt idx="169">
                  <c:v>2025-07-04</c:v>
                </c:pt>
                <c:pt idx="170">
                  <c:v>2025-07-05</c:v>
                </c:pt>
                <c:pt idx="171">
                  <c:v>2025-07-06</c:v>
                </c:pt>
                <c:pt idx="172">
                  <c:v>2025-07-07</c:v>
                </c:pt>
                <c:pt idx="173">
                  <c:v>2025-07-08</c:v>
                </c:pt>
                <c:pt idx="174">
                  <c:v>2025-07-09</c:v>
                </c:pt>
                <c:pt idx="175">
                  <c:v>2025-07-10</c:v>
                </c:pt>
                <c:pt idx="176">
                  <c:v>2025-07-11</c:v>
                </c:pt>
                <c:pt idx="177">
                  <c:v>2025-07-12</c:v>
                </c:pt>
                <c:pt idx="178">
                  <c:v>2025-07-13</c:v>
                </c:pt>
                <c:pt idx="179">
                  <c:v>2025-07-14</c:v>
                </c:pt>
                <c:pt idx="180">
                  <c:v>2025-07-15</c:v>
                </c:pt>
                <c:pt idx="181">
                  <c:v>2025-07-16</c:v>
                </c:pt>
                <c:pt idx="182">
                  <c:v>2025-07-18</c:v>
                </c:pt>
                <c:pt idx="183">
                  <c:v>2025-07-20</c:v>
                </c:pt>
                <c:pt idx="184">
                  <c:v>2025-07-21</c:v>
                </c:pt>
                <c:pt idx="185">
                  <c:v>2025-07-22</c:v>
                </c:pt>
                <c:pt idx="186">
                  <c:v>2025-07-23</c:v>
                </c:pt>
                <c:pt idx="187">
                  <c:v>2025-07-24</c:v>
                </c:pt>
                <c:pt idx="188">
                  <c:v>2025-07-25</c:v>
                </c:pt>
                <c:pt idx="189">
                  <c:v>2025-07-27</c:v>
                </c:pt>
                <c:pt idx="190">
                  <c:v>2025-07-28</c:v>
                </c:pt>
                <c:pt idx="191">
                  <c:v>2025-07-29</c:v>
                </c:pt>
                <c:pt idx="192">
                  <c:v>2025-07-30</c:v>
                </c:pt>
                <c:pt idx="193">
                  <c:v>2025-07-31</c:v>
                </c:pt>
                <c:pt idx="194">
                  <c:v>2025-08-01</c:v>
                </c:pt>
                <c:pt idx="195">
                  <c:v>2025-08-02</c:v>
                </c:pt>
                <c:pt idx="196">
                  <c:v>2025-08-03</c:v>
                </c:pt>
                <c:pt idx="197">
                  <c:v>2025-08-04</c:v>
                </c:pt>
                <c:pt idx="198">
                  <c:v>2025-08-06</c:v>
                </c:pt>
                <c:pt idx="199">
                  <c:v>2025-08-08</c:v>
                </c:pt>
                <c:pt idx="200">
                  <c:v>2025-08-09</c:v>
                </c:pt>
                <c:pt idx="201">
                  <c:v>2025-08-10</c:v>
                </c:pt>
                <c:pt idx="202">
                  <c:v>2025-08-11</c:v>
                </c:pt>
                <c:pt idx="203">
                  <c:v>2025-08-12</c:v>
                </c:pt>
                <c:pt idx="204">
                  <c:v>2025-08-13</c:v>
                </c:pt>
                <c:pt idx="205">
                  <c:v>2025-08-15</c:v>
                </c:pt>
                <c:pt idx="206">
                  <c:v>2025-08-16</c:v>
                </c:pt>
                <c:pt idx="207">
                  <c:v>2025-08-17</c:v>
                </c:pt>
                <c:pt idx="208">
                  <c:v>2025-08-18</c:v>
                </c:pt>
                <c:pt idx="209">
                  <c:v>2025-08-19</c:v>
                </c:pt>
                <c:pt idx="210">
                  <c:v>2025-08-20</c:v>
                </c:pt>
                <c:pt idx="211">
                  <c:v>2025-08-21</c:v>
                </c:pt>
                <c:pt idx="212">
                  <c:v>2025-08-22</c:v>
                </c:pt>
                <c:pt idx="213">
                  <c:v>2025-08-24</c:v>
                </c:pt>
                <c:pt idx="214">
                  <c:v>2025-08-25</c:v>
                </c:pt>
                <c:pt idx="215">
                  <c:v>2025-08-26</c:v>
                </c:pt>
                <c:pt idx="216">
                  <c:v>2025-08-27</c:v>
                </c:pt>
                <c:pt idx="217">
                  <c:v>2025-08-28</c:v>
                </c:pt>
                <c:pt idx="218">
                  <c:v>2025-08-29</c:v>
                </c:pt>
                <c:pt idx="219">
                  <c:v>2025-08-30</c:v>
                </c:pt>
                <c:pt idx="220">
                  <c:v>2025-08-31</c:v>
                </c:pt>
                <c:pt idx="221">
                  <c:v>2025-09-01</c:v>
                </c:pt>
                <c:pt idx="222">
                  <c:v>2025-09-02</c:v>
                </c:pt>
                <c:pt idx="223">
                  <c:v>2025-09-03</c:v>
                </c:pt>
                <c:pt idx="224">
                  <c:v>2025-09-04</c:v>
                </c:pt>
                <c:pt idx="225">
                  <c:v>2025-09-05</c:v>
                </c:pt>
                <c:pt idx="226">
                  <c:v>2025-09-06</c:v>
                </c:pt>
                <c:pt idx="227">
                  <c:v>2025-09-07</c:v>
                </c:pt>
                <c:pt idx="228">
                  <c:v>2025-09-08</c:v>
                </c:pt>
                <c:pt idx="229">
                  <c:v>2025-09-09</c:v>
                </c:pt>
                <c:pt idx="230">
                  <c:v>2025-09-10</c:v>
                </c:pt>
                <c:pt idx="231">
                  <c:v>2025-09-11</c:v>
                </c:pt>
                <c:pt idx="232">
                  <c:v>2025-09-12</c:v>
                </c:pt>
                <c:pt idx="233">
                  <c:v>2025-09-13</c:v>
                </c:pt>
                <c:pt idx="234">
                  <c:v>2025-09-14</c:v>
                </c:pt>
                <c:pt idx="235">
                  <c:v>2025-09-15</c:v>
                </c:pt>
                <c:pt idx="236">
                  <c:v>2025-09-16</c:v>
                </c:pt>
                <c:pt idx="237">
                  <c:v>2025-09-17</c:v>
                </c:pt>
                <c:pt idx="238">
                  <c:v>2025-09-18</c:v>
                </c:pt>
                <c:pt idx="239">
                  <c:v>2025-09-19</c:v>
                </c:pt>
                <c:pt idx="240">
                  <c:v>2025-09-20</c:v>
                </c:pt>
                <c:pt idx="241">
                  <c:v>2025-09-21</c:v>
                </c:pt>
                <c:pt idx="242">
                  <c:v>2025-09-22</c:v>
                </c:pt>
                <c:pt idx="243">
                  <c:v>2025-09-23</c:v>
                </c:pt>
                <c:pt idx="244">
                  <c:v>2025-09-24</c:v>
                </c:pt>
                <c:pt idx="245">
                  <c:v>2025-09-25</c:v>
                </c:pt>
                <c:pt idx="246">
                  <c:v>2025-09-26</c:v>
                </c:pt>
                <c:pt idx="247">
                  <c:v>2025-09-27</c:v>
                </c:pt>
                <c:pt idx="248">
                  <c:v>2025-09-28</c:v>
                </c:pt>
                <c:pt idx="249">
                  <c:v>2025-09-29</c:v>
                </c:pt>
                <c:pt idx="250">
                  <c:v>2025-09-30</c:v>
                </c:pt>
                <c:pt idx="251">
                  <c:v>2025-10-01</c:v>
                </c:pt>
                <c:pt idx="252">
                  <c:v>2025-10-02</c:v>
                </c:pt>
                <c:pt idx="253">
                  <c:v>2025-10-03</c:v>
                </c:pt>
                <c:pt idx="254">
                  <c:v>2025-10-04</c:v>
                </c:pt>
                <c:pt idx="255">
                  <c:v>2025-10-05</c:v>
                </c:pt>
                <c:pt idx="256">
                  <c:v>2025-10-06</c:v>
                </c:pt>
                <c:pt idx="257">
                  <c:v>2025-10-07</c:v>
                </c:pt>
                <c:pt idx="258">
                  <c:v>2025-10-08</c:v>
                </c:pt>
                <c:pt idx="259">
                  <c:v>2025-10-09</c:v>
                </c:pt>
                <c:pt idx="260">
                  <c:v>2025-10-10</c:v>
                </c:pt>
                <c:pt idx="261">
                  <c:v>2025-10-11</c:v>
                </c:pt>
                <c:pt idx="262">
                  <c:v>2025-10-12</c:v>
                </c:pt>
                <c:pt idx="263">
                  <c:v>2025-10-13</c:v>
                </c:pt>
                <c:pt idx="264">
                  <c:v>2025-10-14</c:v>
                </c:pt>
                <c:pt idx="265">
                  <c:v>2025-10-15</c:v>
                </c:pt>
                <c:pt idx="266">
                  <c:v>2025-10-16</c:v>
                </c:pt>
                <c:pt idx="267">
                  <c:v>2025-10-17</c:v>
                </c:pt>
                <c:pt idx="268">
                  <c:v>2025-10-18</c:v>
                </c:pt>
                <c:pt idx="269">
                  <c:v>2025-10-19</c:v>
                </c:pt>
                <c:pt idx="270">
                  <c:v>2025-10-20</c:v>
                </c:pt>
                <c:pt idx="271">
                  <c:v>2025-10-21</c:v>
                </c:pt>
                <c:pt idx="272">
                  <c:v>2025-10-22</c:v>
                </c:pt>
                <c:pt idx="273">
                  <c:v>2025-10-23</c:v>
                </c:pt>
                <c:pt idx="274">
                  <c:v>2025-10-24</c:v>
                </c:pt>
                <c:pt idx="275">
                  <c:v>2025-10-25</c:v>
                </c:pt>
                <c:pt idx="276">
                  <c:v>2025-10-26</c:v>
                </c:pt>
                <c:pt idx="277">
                  <c:v>2025-10-28</c:v>
                </c:pt>
                <c:pt idx="278">
                  <c:v>2025-10-29</c:v>
                </c:pt>
                <c:pt idx="279">
                  <c:v>2025-10-31</c:v>
                </c:pt>
                <c:pt idx="280">
                  <c:v>2025-11-01</c:v>
                </c:pt>
                <c:pt idx="281">
                  <c:v>2025-11-02</c:v>
                </c:pt>
                <c:pt idx="282">
                  <c:v>2025-11-03</c:v>
                </c:pt>
                <c:pt idx="283">
                  <c:v>2025-11-04</c:v>
                </c:pt>
                <c:pt idx="284">
                  <c:v>2025-11-05</c:v>
                </c:pt>
                <c:pt idx="285">
                  <c:v>2025-11-06</c:v>
                </c:pt>
                <c:pt idx="286">
                  <c:v>2025-11-07</c:v>
                </c:pt>
                <c:pt idx="287">
                  <c:v>2025-11-08</c:v>
                </c:pt>
                <c:pt idx="288">
                  <c:v>2025-11-09</c:v>
                </c:pt>
                <c:pt idx="289">
                  <c:v>2025-11-10</c:v>
                </c:pt>
                <c:pt idx="290">
                  <c:v>2025-11-11</c:v>
                </c:pt>
                <c:pt idx="291">
                  <c:v>2025-11-12</c:v>
                </c:pt>
                <c:pt idx="292">
                  <c:v>2025-11-13</c:v>
                </c:pt>
                <c:pt idx="293">
                  <c:v>2025-11-14</c:v>
                </c:pt>
                <c:pt idx="294">
                  <c:v>2025-11-15</c:v>
                </c:pt>
                <c:pt idx="295">
                  <c:v>2025-11-16</c:v>
                </c:pt>
                <c:pt idx="296">
                  <c:v>2025-11-17</c:v>
                </c:pt>
                <c:pt idx="297">
                  <c:v>2025-11-18</c:v>
                </c:pt>
                <c:pt idx="298">
                  <c:v>2025-11-19</c:v>
                </c:pt>
                <c:pt idx="299">
                  <c:v>2025-11-20</c:v>
                </c:pt>
                <c:pt idx="300">
                  <c:v>2025-11-21</c:v>
                </c:pt>
                <c:pt idx="301">
                  <c:v>2025-11-22</c:v>
                </c:pt>
                <c:pt idx="302">
                  <c:v>2025-11-23</c:v>
                </c:pt>
                <c:pt idx="303">
                  <c:v>2025-11-24</c:v>
                </c:pt>
                <c:pt idx="304">
                  <c:v>2025-11-25</c:v>
                </c:pt>
                <c:pt idx="305">
                  <c:v>2025-11-26</c:v>
                </c:pt>
                <c:pt idx="306">
                  <c:v>2025-11-27</c:v>
                </c:pt>
                <c:pt idx="307">
                  <c:v>2025-11-28</c:v>
                </c:pt>
                <c:pt idx="308">
                  <c:v>2025-11-29</c:v>
                </c:pt>
                <c:pt idx="309">
                  <c:v>2025-11-30</c:v>
                </c:pt>
                <c:pt idx="310">
                  <c:v>2025-12-01</c:v>
                </c:pt>
                <c:pt idx="311">
                  <c:v>2025-12-02</c:v>
                </c:pt>
                <c:pt idx="312">
                  <c:v>2025-12-03</c:v>
                </c:pt>
                <c:pt idx="313">
                  <c:v>2025-12-04</c:v>
                </c:pt>
                <c:pt idx="314">
                  <c:v>2025-12-05</c:v>
                </c:pt>
                <c:pt idx="315">
                  <c:v>2025-12-06</c:v>
                </c:pt>
                <c:pt idx="316">
                  <c:v>2025-12-07</c:v>
                </c:pt>
                <c:pt idx="317">
                  <c:v>2025-12-08</c:v>
                </c:pt>
                <c:pt idx="318">
                  <c:v>2025-12-09</c:v>
                </c:pt>
                <c:pt idx="319">
                  <c:v>2025-12-10</c:v>
                </c:pt>
                <c:pt idx="320">
                  <c:v>2025-12-11</c:v>
                </c:pt>
                <c:pt idx="321">
                  <c:v>2025-12-12</c:v>
                </c:pt>
                <c:pt idx="322">
                  <c:v>2025-12-13</c:v>
                </c:pt>
                <c:pt idx="323">
                  <c:v>2025-12-14</c:v>
                </c:pt>
                <c:pt idx="324">
                  <c:v>2025-12-15</c:v>
                </c:pt>
                <c:pt idx="325">
                  <c:v>2025-12-16</c:v>
                </c:pt>
                <c:pt idx="326">
                  <c:v>2025-12-17</c:v>
                </c:pt>
                <c:pt idx="327">
                  <c:v>2025-12-18</c:v>
                </c:pt>
                <c:pt idx="328">
                  <c:v>2025-12-19</c:v>
                </c:pt>
                <c:pt idx="329">
                  <c:v>2025-12-20</c:v>
                </c:pt>
                <c:pt idx="330">
                  <c:v>2025-12-21</c:v>
                </c:pt>
                <c:pt idx="331">
                  <c:v>2025-12-22</c:v>
                </c:pt>
                <c:pt idx="332">
                  <c:v>2025-12-23</c:v>
                </c:pt>
                <c:pt idx="333">
                  <c:v>2025-12-24</c:v>
                </c:pt>
                <c:pt idx="334">
                  <c:v>2025-12-25</c:v>
                </c:pt>
                <c:pt idx="335">
                  <c:v>2025-12-26</c:v>
                </c:pt>
                <c:pt idx="336">
                  <c:v>2025-12-27</c:v>
                </c:pt>
                <c:pt idx="337">
                  <c:v>2025-12-28</c:v>
                </c:pt>
                <c:pt idx="338">
                  <c:v>2025-12-29</c:v>
                </c:pt>
                <c:pt idx="339">
                  <c:v>2025-12-30</c:v>
                </c:pt>
                <c:pt idx="340">
                  <c:v>2025-12-31</c:v>
                </c:pt>
                <c:pt idx="341">
                  <c:v>2026-01-01</c:v>
                </c:pt>
              </c:strCache>
            </c:strRef>
          </c:cat>
          <c:val>
            <c:numRef>
              <c:f>Sheet1!$B$4:$B$346</c:f>
              <c:numCache>
                <c:formatCode>General</c:formatCode>
                <c:ptCount val="342"/>
                <c:pt idx="0">
                  <c:v>23787.599999999999</c:v>
                </c:pt>
                <c:pt idx="1">
                  <c:v>307641.34999999998</c:v>
                </c:pt>
                <c:pt idx="2">
                  <c:v>194749.86</c:v>
                </c:pt>
                <c:pt idx="3">
                  <c:v>721080.92</c:v>
                </c:pt>
                <c:pt idx="4">
                  <c:v>591822.16</c:v>
                </c:pt>
                <c:pt idx="5">
                  <c:v>72852.100000000006</c:v>
                </c:pt>
                <c:pt idx="6">
                  <c:v>539901.84000000008</c:v>
                </c:pt>
                <c:pt idx="7">
                  <c:v>625004.75</c:v>
                </c:pt>
                <c:pt idx="8">
                  <c:v>853136.58</c:v>
                </c:pt>
                <c:pt idx="9">
                  <c:v>296338.06</c:v>
                </c:pt>
                <c:pt idx="10">
                  <c:v>696953.82</c:v>
                </c:pt>
                <c:pt idx="11">
                  <c:v>509436.29</c:v>
                </c:pt>
                <c:pt idx="12">
                  <c:v>207548.11</c:v>
                </c:pt>
                <c:pt idx="13">
                  <c:v>295210.68</c:v>
                </c:pt>
                <c:pt idx="14">
                  <c:v>682502.23</c:v>
                </c:pt>
                <c:pt idx="15">
                  <c:v>200969.45</c:v>
                </c:pt>
                <c:pt idx="16">
                  <c:v>294192.93</c:v>
                </c:pt>
                <c:pt idx="17">
                  <c:v>39400.400000000001</c:v>
                </c:pt>
                <c:pt idx="18">
                  <c:v>688914.03</c:v>
                </c:pt>
                <c:pt idx="19">
                  <c:v>423571.4</c:v>
                </c:pt>
                <c:pt idx="20">
                  <c:v>51372.25</c:v>
                </c:pt>
                <c:pt idx="21">
                  <c:v>226245.78</c:v>
                </c:pt>
                <c:pt idx="22">
                  <c:v>385886.58</c:v>
                </c:pt>
                <c:pt idx="23">
                  <c:v>152156.34</c:v>
                </c:pt>
                <c:pt idx="24">
                  <c:v>222112.21</c:v>
                </c:pt>
                <c:pt idx="25">
                  <c:v>65068.15</c:v>
                </c:pt>
                <c:pt idx="26">
                  <c:v>463565.18000000005</c:v>
                </c:pt>
                <c:pt idx="27">
                  <c:v>264769.68</c:v>
                </c:pt>
                <c:pt idx="28">
                  <c:v>274084.29000000004</c:v>
                </c:pt>
                <c:pt idx="29">
                  <c:v>238516.14</c:v>
                </c:pt>
                <c:pt idx="30">
                  <c:v>231341.36</c:v>
                </c:pt>
                <c:pt idx="31">
                  <c:v>213936.9</c:v>
                </c:pt>
                <c:pt idx="32">
                  <c:v>719913.01</c:v>
                </c:pt>
                <c:pt idx="33">
                  <c:v>1171103.33</c:v>
                </c:pt>
                <c:pt idx="34">
                  <c:v>219690.99999999997</c:v>
                </c:pt>
                <c:pt idx="35">
                  <c:v>211014.96</c:v>
                </c:pt>
                <c:pt idx="36">
                  <c:v>499455.77</c:v>
                </c:pt>
                <c:pt idx="37">
                  <c:v>317658.06</c:v>
                </c:pt>
                <c:pt idx="38">
                  <c:v>1578490.76</c:v>
                </c:pt>
                <c:pt idx="39">
                  <c:v>267031.24</c:v>
                </c:pt>
                <c:pt idx="40">
                  <c:v>98255.31</c:v>
                </c:pt>
                <c:pt idx="41">
                  <c:v>431225.59</c:v>
                </c:pt>
                <c:pt idx="42">
                  <c:v>91618.18</c:v>
                </c:pt>
                <c:pt idx="43">
                  <c:v>228629.35</c:v>
                </c:pt>
                <c:pt idx="44">
                  <c:v>665376.86</c:v>
                </c:pt>
                <c:pt idx="45">
                  <c:v>214543.4</c:v>
                </c:pt>
                <c:pt idx="46">
                  <c:v>638622.62000000011</c:v>
                </c:pt>
                <c:pt idx="47">
                  <c:v>640792.78</c:v>
                </c:pt>
                <c:pt idx="48">
                  <c:v>737058.21</c:v>
                </c:pt>
                <c:pt idx="49">
                  <c:v>367008.04999999993</c:v>
                </c:pt>
                <c:pt idx="50">
                  <c:v>397280.78</c:v>
                </c:pt>
                <c:pt idx="51">
                  <c:v>446010.50000000012</c:v>
                </c:pt>
                <c:pt idx="52">
                  <c:v>612523.01</c:v>
                </c:pt>
                <c:pt idx="53">
                  <c:v>16499.400000000001</c:v>
                </c:pt>
                <c:pt idx="54">
                  <c:v>843798.3899999999</c:v>
                </c:pt>
                <c:pt idx="55">
                  <c:v>299490.08</c:v>
                </c:pt>
                <c:pt idx="56">
                  <c:v>334559.88</c:v>
                </c:pt>
                <c:pt idx="57">
                  <c:v>609548.08000000007</c:v>
                </c:pt>
                <c:pt idx="58">
                  <c:v>1245838.4500000002</c:v>
                </c:pt>
                <c:pt idx="59">
                  <c:v>385266.98</c:v>
                </c:pt>
                <c:pt idx="60">
                  <c:v>437035.54000000004</c:v>
                </c:pt>
                <c:pt idx="61">
                  <c:v>625974.22</c:v>
                </c:pt>
                <c:pt idx="62">
                  <c:v>36587.919999999998</c:v>
                </c:pt>
                <c:pt idx="63">
                  <c:v>1016615.4500000001</c:v>
                </c:pt>
                <c:pt idx="64">
                  <c:v>533015.02</c:v>
                </c:pt>
                <c:pt idx="65">
                  <c:v>435872.24</c:v>
                </c:pt>
                <c:pt idx="66">
                  <c:v>623708.92000000004</c:v>
                </c:pt>
                <c:pt idx="67">
                  <c:v>193512.53</c:v>
                </c:pt>
                <c:pt idx="68">
                  <c:v>324318.12</c:v>
                </c:pt>
                <c:pt idx="69">
                  <c:v>648758.70000000007</c:v>
                </c:pt>
                <c:pt idx="70">
                  <c:v>483010.12</c:v>
                </c:pt>
                <c:pt idx="71">
                  <c:v>202208.76</c:v>
                </c:pt>
                <c:pt idx="72">
                  <c:v>197027.7</c:v>
                </c:pt>
                <c:pt idx="73">
                  <c:v>1001459.48</c:v>
                </c:pt>
                <c:pt idx="74">
                  <c:v>487506.6</c:v>
                </c:pt>
                <c:pt idx="75">
                  <c:v>1044614.5099999999</c:v>
                </c:pt>
                <c:pt idx="76">
                  <c:v>67695.930000000008</c:v>
                </c:pt>
                <c:pt idx="77">
                  <c:v>125483.1</c:v>
                </c:pt>
                <c:pt idx="78">
                  <c:v>828268.6</c:v>
                </c:pt>
                <c:pt idx="79">
                  <c:v>12225.22</c:v>
                </c:pt>
                <c:pt idx="80">
                  <c:v>250111.04</c:v>
                </c:pt>
                <c:pt idx="81">
                  <c:v>1170455.07</c:v>
                </c:pt>
                <c:pt idx="82">
                  <c:v>425093.49</c:v>
                </c:pt>
                <c:pt idx="83">
                  <c:v>568465.05000000005</c:v>
                </c:pt>
                <c:pt idx="84">
                  <c:v>720567.42999999993</c:v>
                </c:pt>
                <c:pt idx="85">
                  <c:v>106419.88</c:v>
                </c:pt>
                <c:pt idx="86">
                  <c:v>283722.64</c:v>
                </c:pt>
                <c:pt idx="87">
                  <c:v>241032.51</c:v>
                </c:pt>
                <c:pt idx="88">
                  <c:v>47539.35</c:v>
                </c:pt>
                <c:pt idx="89">
                  <c:v>959013.60999999987</c:v>
                </c:pt>
                <c:pt idx="90">
                  <c:v>22073.279999999999</c:v>
                </c:pt>
                <c:pt idx="91">
                  <c:v>684713.52</c:v>
                </c:pt>
                <c:pt idx="92">
                  <c:v>261998.07999999999</c:v>
                </c:pt>
                <c:pt idx="93">
                  <c:v>86527.34</c:v>
                </c:pt>
                <c:pt idx="94">
                  <c:v>153670.14000000001</c:v>
                </c:pt>
                <c:pt idx="95">
                  <c:v>1429318.04</c:v>
                </c:pt>
                <c:pt idx="96">
                  <c:v>286616.56000000006</c:v>
                </c:pt>
                <c:pt idx="97">
                  <c:v>869053.62000000011</c:v>
                </c:pt>
                <c:pt idx="98">
                  <c:v>186072.9</c:v>
                </c:pt>
                <c:pt idx="99">
                  <c:v>283800.74</c:v>
                </c:pt>
                <c:pt idx="100">
                  <c:v>415241.48</c:v>
                </c:pt>
                <c:pt idx="101">
                  <c:v>175335.5</c:v>
                </c:pt>
                <c:pt idx="102">
                  <c:v>370815.73</c:v>
                </c:pt>
                <c:pt idx="103">
                  <c:v>206248.56</c:v>
                </c:pt>
                <c:pt idx="104">
                  <c:v>216126.48</c:v>
                </c:pt>
                <c:pt idx="105">
                  <c:v>284944.09999999998</c:v>
                </c:pt>
                <c:pt idx="106">
                  <c:v>200684.65000000002</c:v>
                </c:pt>
                <c:pt idx="107">
                  <c:v>928766.69</c:v>
                </c:pt>
                <c:pt idx="108">
                  <c:v>121791.05</c:v>
                </c:pt>
                <c:pt idx="109">
                  <c:v>266481.64</c:v>
                </c:pt>
                <c:pt idx="110">
                  <c:v>165569.18</c:v>
                </c:pt>
                <c:pt idx="111">
                  <c:v>544509.42000000004</c:v>
                </c:pt>
                <c:pt idx="112">
                  <c:v>277904.09000000003</c:v>
                </c:pt>
                <c:pt idx="113">
                  <c:v>972585.47</c:v>
                </c:pt>
                <c:pt idx="114">
                  <c:v>625825.69999999995</c:v>
                </c:pt>
                <c:pt idx="115">
                  <c:v>603688.07000000007</c:v>
                </c:pt>
                <c:pt idx="116">
                  <c:v>225409.88</c:v>
                </c:pt>
                <c:pt idx="117">
                  <c:v>137016.05000000002</c:v>
                </c:pt>
                <c:pt idx="118">
                  <c:v>516793.88</c:v>
                </c:pt>
                <c:pt idx="119">
                  <c:v>681348.66999999993</c:v>
                </c:pt>
                <c:pt idx="120">
                  <c:v>217182.66</c:v>
                </c:pt>
                <c:pt idx="121">
                  <c:v>608410.46</c:v>
                </c:pt>
                <c:pt idx="122">
                  <c:v>616989.48</c:v>
                </c:pt>
                <c:pt idx="123">
                  <c:v>117566.37</c:v>
                </c:pt>
                <c:pt idx="124">
                  <c:v>40250.629999999997</c:v>
                </c:pt>
                <c:pt idx="125">
                  <c:v>638646.07999999996</c:v>
                </c:pt>
                <c:pt idx="126">
                  <c:v>711122.52</c:v>
                </c:pt>
                <c:pt idx="127">
                  <c:v>139833.82</c:v>
                </c:pt>
                <c:pt idx="128">
                  <c:v>772373.07</c:v>
                </c:pt>
                <c:pt idx="129">
                  <c:v>106274.97</c:v>
                </c:pt>
                <c:pt idx="130">
                  <c:v>59786.310000000005</c:v>
                </c:pt>
                <c:pt idx="131">
                  <c:v>402956.64</c:v>
                </c:pt>
                <c:pt idx="132">
                  <c:v>188291.24</c:v>
                </c:pt>
                <c:pt idx="133">
                  <c:v>171199.65999999997</c:v>
                </c:pt>
                <c:pt idx="134">
                  <c:v>414789.57</c:v>
                </c:pt>
                <c:pt idx="135">
                  <c:v>1229.02</c:v>
                </c:pt>
                <c:pt idx="136">
                  <c:v>241646.03999999998</c:v>
                </c:pt>
                <c:pt idx="137">
                  <c:v>116346.33</c:v>
                </c:pt>
                <c:pt idx="138">
                  <c:v>669143.97</c:v>
                </c:pt>
                <c:pt idx="139">
                  <c:v>202982.75</c:v>
                </c:pt>
                <c:pt idx="140">
                  <c:v>222617.52000000002</c:v>
                </c:pt>
                <c:pt idx="141">
                  <c:v>762761.55</c:v>
                </c:pt>
                <c:pt idx="142">
                  <c:v>1251517.9600000002</c:v>
                </c:pt>
                <c:pt idx="143">
                  <c:v>324316.63</c:v>
                </c:pt>
                <c:pt idx="144">
                  <c:v>154570.56</c:v>
                </c:pt>
                <c:pt idx="145">
                  <c:v>1308365.6099999999</c:v>
                </c:pt>
                <c:pt idx="146">
                  <c:v>617268.59</c:v>
                </c:pt>
                <c:pt idx="147">
                  <c:v>777662.65</c:v>
                </c:pt>
                <c:pt idx="148">
                  <c:v>127543.5</c:v>
                </c:pt>
                <c:pt idx="149">
                  <c:v>551755.06000000006</c:v>
                </c:pt>
                <c:pt idx="150">
                  <c:v>591719.15</c:v>
                </c:pt>
                <c:pt idx="151">
                  <c:v>82162.03</c:v>
                </c:pt>
                <c:pt idx="152">
                  <c:v>85037.6</c:v>
                </c:pt>
                <c:pt idx="153">
                  <c:v>726170.09000000008</c:v>
                </c:pt>
                <c:pt idx="154">
                  <c:v>48695.59</c:v>
                </c:pt>
                <c:pt idx="155">
                  <c:v>400840.02</c:v>
                </c:pt>
                <c:pt idx="156">
                  <c:v>395746</c:v>
                </c:pt>
                <c:pt idx="157">
                  <c:v>258201.16</c:v>
                </c:pt>
                <c:pt idx="158">
                  <c:v>805528.83000000007</c:v>
                </c:pt>
                <c:pt idx="159">
                  <c:v>587281.31000000006</c:v>
                </c:pt>
                <c:pt idx="160">
                  <c:v>466038.69999999995</c:v>
                </c:pt>
                <c:pt idx="161">
                  <c:v>331928.42000000004</c:v>
                </c:pt>
                <c:pt idx="162">
                  <c:v>549789.11</c:v>
                </c:pt>
                <c:pt idx="163">
                  <c:v>100174.51999999999</c:v>
                </c:pt>
                <c:pt idx="164">
                  <c:v>162554.32</c:v>
                </c:pt>
                <c:pt idx="165">
                  <c:v>169281.32</c:v>
                </c:pt>
                <c:pt idx="166">
                  <c:v>849822.09</c:v>
                </c:pt>
                <c:pt idx="167">
                  <c:v>354144.58999999997</c:v>
                </c:pt>
                <c:pt idx="168">
                  <c:v>338531.22</c:v>
                </c:pt>
                <c:pt idx="169">
                  <c:v>714092.55999999994</c:v>
                </c:pt>
                <c:pt idx="170">
                  <c:v>411098.3</c:v>
                </c:pt>
                <c:pt idx="171">
                  <c:v>442459.06999999995</c:v>
                </c:pt>
                <c:pt idx="172">
                  <c:v>1081809.3599999999</c:v>
                </c:pt>
                <c:pt idx="173">
                  <c:v>349750.25</c:v>
                </c:pt>
                <c:pt idx="174">
                  <c:v>473364.16</c:v>
                </c:pt>
                <c:pt idx="175">
                  <c:v>215754.42</c:v>
                </c:pt>
                <c:pt idx="176">
                  <c:v>686361.27999999991</c:v>
                </c:pt>
                <c:pt idx="177">
                  <c:v>62003.61</c:v>
                </c:pt>
                <c:pt idx="178">
                  <c:v>780035.64000000013</c:v>
                </c:pt>
                <c:pt idx="179">
                  <c:v>87386.72</c:v>
                </c:pt>
                <c:pt idx="180">
                  <c:v>143666.44</c:v>
                </c:pt>
                <c:pt idx="181">
                  <c:v>332643.90000000002</c:v>
                </c:pt>
                <c:pt idx="182">
                  <c:v>534254.91999999993</c:v>
                </c:pt>
                <c:pt idx="183">
                  <c:v>511167.64999999997</c:v>
                </c:pt>
                <c:pt idx="184">
                  <c:v>707263.84000000008</c:v>
                </c:pt>
                <c:pt idx="185">
                  <c:v>565694.16</c:v>
                </c:pt>
                <c:pt idx="186">
                  <c:v>167795.58</c:v>
                </c:pt>
                <c:pt idx="187">
                  <c:v>333300.72000000003</c:v>
                </c:pt>
                <c:pt idx="188">
                  <c:v>89054.9</c:v>
                </c:pt>
                <c:pt idx="189">
                  <c:v>455182.97</c:v>
                </c:pt>
                <c:pt idx="190">
                  <c:v>856468.36</c:v>
                </c:pt>
                <c:pt idx="191">
                  <c:v>312531.66000000003</c:v>
                </c:pt>
                <c:pt idx="192">
                  <c:v>283079.69</c:v>
                </c:pt>
                <c:pt idx="193">
                  <c:v>457330.83</c:v>
                </c:pt>
                <c:pt idx="194">
                  <c:v>329849.45999999996</c:v>
                </c:pt>
                <c:pt idx="195">
                  <c:v>3727.43</c:v>
                </c:pt>
                <c:pt idx="196">
                  <c:v>1132054.5399999998</c:v>
                </c:pt>
                <c:pt idx="197">
                  <c:v>524698.53999999992</c:v>
                </c:pt>
                <c:pt idx="198">
                  <c:v>430527.84</c:v>
                </c:pt>
                <c:pt idx="199">
                  <c:v>118742.95999999999</c:v>
                </c:pt>
                <c:pt idx="200">
                  <c:v>105732.81</c:v>
                </c:pt>
                <c:pt idx="201">
                  <c:v>120601.31</c:v>
                </c:pt>
                <c:pt idx="202">
                  <c:v>361914.47</c:v>
                </c:pt>
                <c:pt idx="203">
                  <c:v>396508.07999999996</c:v>
                </c:pt>
                <c:pt idx="204">
                  <c:v>742804.24</c:v>
                </c:pt>
                <c:pt idx="205">
                  <c:v>271389.68</c:v>
                </c:pt>
                <c:pt idx="206">
                  <c:v>126051.16</c:v>
                </c:pt>
                <c:pt idx="207">
                  <c:v>182906.4</c:v>
                </c:pt>
                <c:pt idx="208">
                  <c:v>13705.83</c:v>
                </c:pt>
                <c:pt idx="209">
                  <c:v>97209.96</c:v>
                </c:pt>
                <c:pt idx="210">
                  <c:v>313519.95</c:v>
                </c:pt>
                <c:pt idx="211">
                  <c:v>17548.5</c:v>
                </c:pt>
                <c:pt idx="212">
                  <c:v>867100.5199999999</c:v>
                </c:pt>
                <c:pt idx="213">
                  <c:v>568341.48</c:v>
                </c:pt>
                <c:pt idx="214">
                  <c:v>1138958.6299999999</c:v>
                </c:pt>
                <c:pt idx="215">
                  <c:v>275391.42</c:v>
                </c:pt>
                <c:pt idx="216">
                  <c:v>203819.75</c:v>
                </c:pt>
                <c:pt idx="217">
                  <c:v>64336.72</c:v>
                </c:pt>
                <c:pt idx="218">
                  <c:v>241065.81</c:v>
                </c:pt>
                <c:pt idx="219">
                  <c:v>612161.94999999995</c:v>
                </c:pt>
                <c:pt idx="220">
                  <c:v>187801.78</c:v>
                </c:pt>
                <c:pt idx="221">
                  <c:v>111355.98</c:v>
                </c:pt>
                <c:pt idx="222">
                  <c:v>342076.57</c:v>
                </c:pt>
                <c:pt idx="223">
                  <c:v>328096.23</c:v>
                </c:pt>
                <c:pt idx="224">
                  <c:v>879059.16999999993</c:v>
                </c:pt>
                <c:pt idx="225">
                  <c:v>464137.49</c:v>
                </c:pt>
                <c:pt idx="226">
                  <c:v>272282.31</c:v>
                </c:pt>
                <c:pt idx="227">
                  <c:v>375130.45999999996</c:v>
                </c:pt>
                <c:pt idx="228">
                  <c:v>274999.34999999998</c:v>
                </c:pt>
                <c:pt idx="229">
                  <c:v>837973.40999999992</c:v>
                </c:pt>
                <c:pt idx="230">
                  <c:v>43373.54</c:v>
                </c:pt>
                <c:pt idx="231">
                  <c:v>250397.41999999998</c:v>
                </c:pt>
                <c:pt idx="232">
                  <c:v>99311.77</c:v>
                </c:pt>
                <c:pt idx="233">
                  <c:v>590579.95000000007</c:v>
                </c:pt>
                <c:pt idx="234">
                  <c:v>272158.09999999998</c:v>
                </c:pt>
                <c:pt idx="235">
                  <c:v>27183.98</c:v>
                </c:pt>
                <c:pt idx="236">
                  <c:v>48215.86</c:v>
                </c:pt>
                <c:pt idx="237">
                  <c:v>1031405.48</c:v>
                </c:pt>
                <c:pt idx="238">
                  <c:v>588289.68000000005</c:v>
                </c:pt>
                <c:pt idx="239">
                  <c:v>17299.04</c:v>
                </c:pt>
                <c:pt idx="240">
                  <c:v>185307.11000000002</c:v>
                </c:pt>
                <c:pt idx="241">
                  <c:v>267318.91000000003</c:v>
                </c:pt>
                <c:pt idx="242">
                  <c:v>121529.76</c:v>
                </c:pt>
                <c:pt idx="243">
                  <c:v>115263.96</c:v>
                </c:pt>
                <c:pt idx="244">
                  <c:v>97826.15</c:v>
                </c:pt>
                <c:pt idx="245">
                  <c:v>6050.27</c:v>
                </c:pt>
                <c:pt idx="246">
                  <c:v>331505.24</c:v>
                </c:pt>
                <c:pt idx="247">
                  <c:v>158916.6</c:v>
                </c:pt>
                <c:pt idx="248">
                  <c:v>343057.3</c:v>
                </c:pt>
                <c:pt idx="249">
                  <c:v>392777.39</c:v>
                </c:pt>
                <c:pt idx="250">
                  <c:v>307017.81</c:v>
                </c:pt>
                <c:pt idx="251">
                  <c:v>275135.32999999996</c:v>
                </c:pt>
                <c:pt idx="252">
                  <c:v>284596.46000000002</c:v>
                </c:pt>
                <c:pt idx="253">
                  <c:v>280670.53000000003</c:v>
                </c:pt>
                <c:pt idx="254">
                  <c:v>617228.90999999992</c:v>
                </c:pt>
                <c:pt idx="255">
                  <c:v>457195.85000000003</c:v>
                </c:pt>
                <c:pt idx="256">
                  <c:v>167403.22999999998</c:v>
                </c:pt>
                <c:pt idx="257">
                  <c:v>121853.1</c:v>
                </c:pt>
                <c:pt idx="258">
                  <c:v>313708.77999999997</c:v>
                </c:pt>
                <c:pt idx="259">
                  <c:v>1495.14</c:v>
                </c:pt>
                <c:pt idx="260">
                  <c:v>327185.07</c:v>
                </c:pt>
                <c:pt idx="261">
                  <c:v>380355.26</c:v>
                </c:pt>
                <c:pt idx="262">
                  <c:v>426928</c:v>
                </c:pt>
                <c:pt idx="263">
                  <c:v>530870.75</c:v>
                </c:pt>
                <c:pt idx="264">
                  <c:v>1358272.46</c:v>
                </c:pt>
                <c:pt idx="265">
                  <c:v>310619.75</c:v>
                </c:pt>
                <c:pt idx="266">
                  <c:v>388557.42</c:v>
                </c:pt>
                <c:pt idx="267">
                  <c:v>171708.14</c:v>
                </c:pt>
                <c:pt idx="268">
                  <c:v>93055.86</c:v>
                </c:pt>
                <c:pt idx="269">
                  <c:v>49403.839999999997</c:v>
                </c:pt>
                <c:pt idx="270">
                  <c:v>273383.06</c:v>
                </c:pt>
                <c:pt idx="271">
                  <c:v>608133.06999999995</c:v>
                </c:pt>
                <c:pt idx="272">
                  <c:v>665309.27999999991</c:v>
                </c:pt>
                <c:pt idx="273">
                  <c:v>637941.75</c:v>
                </c:pt>
                <c:pt idx="274">
                  <c:v>833404.28</c:v>
                </c:pt>
                <c:pt idx="275">
                  <c:v>334929.09999999998</c:v>
                </c:pt>
                <c:pt idx="276">
                  <c:v>693585.16</c:v>
                </c:pt>
                <c:pt idx="277">
                  <c:v>601138.86</c:v>
                </c:pt>
                <c:pt idx="278">
                  <c:v>681953.05</c:v>
                </c:pt>
                <c:pt idx="279">
                  <c:v>614915.01</c:v>
                </c:pt>
                <c:pt idx="280">
                  <c:v>689978.58000000007</c:v>
                </c:pt>
                <c:pt idx="281">
                  <c:v>253269.24000000002</c:v>
                </c:pt>
                <c:pt idx="282">
                  <c:v>34742.76</c:v>
                </c:pt>
                <c:pt idx="283">
                  <c:v>453859.70999999996</c:v>
                </c:pt>
                <c:pt idx="284">
                  <c:v>585178.32000000007</c:v>
                </c:pt>
                <c:pt idx="285">
                  <c:v>552792.46</c:v>
                </c:pt>
                <c:pt idx="286">
                  <c:v>1099718.31</c:v>
                </c:pt>
                <c:pt idx="287">
                  <c:v>361804.33</c:v>
                </c:pt>
                <c:pt idx="288">
                  <c:v>176781.2</c:v>
                </c:pt>
                <c:pt idx="289">
                  <c:v>122431.8</c:v>
                </c:pt>
                <c:pt idx="290">
                  <c:v>107745.36</c:v>
                </c:pt>
                <c:pt idx="291">
                  <c:v>578342.88</c:v>
                </c:pt>
                <c:pt idx="292">
                  <c:v>359959.29000000004</c:v>
                </c:pt>
                <c:pt idx="293">
                  <c:v>232580.11000000002</c:v>
                </c:pt>
                <c:pt idx="294">
                  <c:v>278427.28000000003</c:v>
                </c:pt>
                <c:pt idx="295">
                  <c:v>365739.9</c:v>
                </c:pt>
                <c:pt idx="296">
                  <c:v>240883.83</c:v>
                </c:pt>
                <c:pt idx="297">
                  <c:v>276698.28000000003</c:v>
                </c:pt>
                <c:pt idx="298">
                  <c:v>1200241.17</c:v>
                </c:pt>
                <c:pt idx="299">
                  <c:v>360108.6</c:v>
                </c:pt>
                <c:pt idx="300">
                  <c:v>273132.90000000002</c:v>
                </c:pt>
                <c:pt idx="301">
                  <c:v>499943.76999999996</c:v>
                </c:pt>
                <c:pt idx="302">
                  <c:v>384118.26999999996</c:v>
                </c:pt>
                <c:pt idx="303">
                  <c:v>349767.9</c:v>
                </c:pt>
                <c:pt idx="304">
                  <c:v>237573.1</c:v>
                </c:pt>
                <c:pt idx="305">
                  <c:v>485538.24</c:v>
                </c:pt>
                <c:pt idx="306">
                  <c:v>546961.67000000004</c:v>
                </c:pt>
                <c:pt idx="307">
                  <c:v>444016.4</c:v>
                </c:pt>
                <c:pt idx="308">
                  <c:v>467239.58999999997</c:v>
                </c:pt>
                <c:pt idx="309">
                  <c:v>608044.97</c:v>
                </c:pt>
                <c:pt idx="310">
                  <c:v>435849.98</c:v>
                </c:pt>
                <c:pt idx="311">
                  <c:v>256872.24</c:v>
                </c:pt>
                <c:pt idx="312">
                  <c:v>200981.7</c:v>
                </c:pt>
                <c:pt idx="313">
                  <c:v>955404.98</c:v>
                </c:pt>
                <c:pt idx="314">
                  <c:v>144840.29</c:v>
                </c:pt>
                <c:pt idx="315">
                  <c:v>542450.07999999996</c:v>
                </c:pt>
                <c:pt idx="316">
                  <c:v>485948.19</c:v>
                </c:pt>
                <c:pt idx="317">
                  <c:v>313418.15000000002</c:v>
                </c:pt>
                <c:pt idx="318">
                  <c:v>981351.10000000009</c:v>
                </c:pt>
                <c:pt idx="319">
                  <c:v>178731.57</c:v>
                </c:pt>
                <c:pt idx="320">
                  <c:v>339751.37</c:v>
                </c:pt>
                <c:pt idx="321">
                  <c:v>855766.06</c:v>
                </c:pt>
                <c:pt idx="322">
                  <c:v>310658.52</c:v>
                </c:pt>
                <c:pt idx="323">
                  <c:v>330592.38</c:v>
                </c:pt>
                <c:pt idx="324">
                  <c:v>992394.38</c:v>
                </c:pt>
                <c:pt idx="325">
                  <c:v>366762.14999999997</c:v>
                </c:pt>
                <c:pt idx="326">
                  <c:v>336551.43999999994</c:v>
                </c:pt>
                <c:pt idx="327">
                  <c:v>167292.37</c:v>
                </c:pt>
                <c:pt idx="328">
                  <c:v>431527.97000000003</c:v>
                </c:pt>
                <c:pt idx="329">
                  <c:v>219823.88999999998</c:v>
                </c:pt>
                <c:pt idx="330">
                  <c:v>148956.46000000002</c:v>
                </c:pt>
                <c:pt idx="331">
                  <c:v>336839.4</c:v>
                </c:pt>
                <c:pt idx="332">
                  <c:v>573354.91</c:v>
                </c:pt>
                <c:pt idx="333">
                  <c:v>8872.0300000000007</c:v>
                </c:pt>
                <c:pt idx="334">
                  <c:v>720339.08000000007</c:v>
                </c:pt>
                <c:pt idx="335">
                  <c:v>182445.41999999998</c:v>
                </c:pt>
                <c:pt idx="336">
                  <c:v>368373.65</c:v>
                </c:pt>
                <c:pt idx="337">
                  <c:v>256767.72</c:v>
                </c:pt>
                <c:pt idx="338">
                  <c:v>270452.40000000002</c:v>
                </c:pt>
                <c:pt idx="339">
                  <c:v>62518.32</c:v>
                </c:pt>
                <c:pt idx="340">
                  <c:v>524016.24</c:v>
                </c:pt>
                <c:pt idx="341">
                  <c:v>809389.99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3-483A-895A-EF8E1E8CB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740896"/>
        <c:axId val="581210960"/>
      </c:barChart>
      <c:catAx>
        <c:axId val="7147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10960"/>
        <c:crosses val="autoZero"/>
        <c:auto val="1"/>
        <c:lblAlgn val="ctr"/>
        <c:lblOffset val="100"/>
        <c:noMultiLvlLbl val="0"/>
      </c:catAx>
      <c:valAx>
        <c:axId val="5812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Categorical_Analysis!$A$2:$A$3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Categorical_Analysis!$B$2:$B$3</c:f>
              <c:numCache>
                <c:formatCode>General</c:formatCode>
                <c:ptCount val="2"/>
                <c:pt idx="0">
                  <c:v>511</c:v>
                </c:pt>
                <c:pt idx="1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2-46E1-8778-3151425FC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025231"/>
        <c:axId val="306584463"/>
      </c:barChart>
      <c:catAx>
        <c:axId val="37202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84463"/>
        <c:crosses val="autoZero"/>
        <c:auto val="1"/>
        <c:lblAlgn val="ctr"/>
        <c:lblOffset val="100"/>
        <c:noMultiLvlLbl val="0"/>
      </c:catAx>
      <c:valAx>
        <c:axId val="3065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2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Categorical_Analysis!$N$1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Categorical_Analysis!$M$2:$M$9</c:f>
              <c:strCache>
                <c:ptCount val="8"/>
                <c:pt idx="0">
                  <c:v>Bengaluru</c:v>
                </c:pt>
                <c:pt idx="1">
                  <c:v>Kolkata</c:v>
                </c:pt>
                <c:pt idx="2">
                  <c:v>Hyderbad</c:v>
                </c:pt>
                <c:pt idx="3">
                  <c:v>Patna</c:v>
                </c:pt>
                <c:pt idx="4">
                  <c:v>Mumbai</c:v>
                </c:pt>
                <c:pt idx="5">
                  <c:v>Delhi</c:v>
                </c:pt>
                <c:pt idx="6">
                  <c:v>Gaya</c:v>
                </c:pt>
                <c:pt idx="7">
                  <c:v>Pune</c:v>
                </c:pt>
              </c:strCache>
            </c:strRef>
          </c:cat>
          <c:val>
            <c:numRef>
              <c:f>Categorical_Analysis!$N$2:$N$9</c:f>
              <c:numCache>
                <c:formatCode>General</c:formatCode>
                <c:ptCount val="8"/>
                <c:pt idx="0">
                  <c:v>122</c:v>
                </c:pt>
                <c:pt idx="1">
                  <c:v>133</c:v>
                </c:pt>
                <c:pt idx="2">
                  <c:v>125</c:v>
                </c:pt>
                <c:pt idx="3">
                  <c:v>135</c:v>
                </c:pt>
                <c:pt idx="4">
                  <c:v>131</c:v>
                </c:pt>
                <c:pt idx="5">
                  <c:v>125</c:v>
                </c:pt>
                <c:pt idx="6">
                  <c:v>117</c:v>
                </c:pt>
                <c:pt idx="7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6-479B-97B1-F38D7CF77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78719"/>
        <c:axId val="306604623"/>
      </c:barChart>
      <c:catAx>
        <c:axId val="49437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04623"/>
        <c:crosses val="autoZero"/>
        <c:auto val="1"/>
        <c:lblAlgn val="ctr"/>
        <c:lblOffset val="100"/>
        <c:noMultiLvlLbl val="0"/>
      </c:catAx>
      <c:valAx>
        <c:axId val="3066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Categorical_Analysis!$N$20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Categorical_Analysis!$M$21:$M$25</c:f>
              <c:strCache>
                <c:ptCount val="5"/>
                <c:pt idx="0">
                  <c:v>Rice</c:v>
                </c:pt>
                <c:pt idx="1">
                  <c:v>Book</c:v>
                </c:pt>
                <c:pt idx="2">
                  <c:v>Mobile</c:v>
                </c:pt>
                <c:pt idx="3">
                  <c:v>Laptop</c:v>
                </c:pt>
                <c:pt idx="4">
                  <c:v>Shoes</c:v>
                </c:pt>
              </c:strCache>
            </c:strRef>
          </c:cat>
          <c:val>
            <c:numRef>
              <c:f>Categorical_Analysis!$N$21:$N$25</c:f>
              <c:numCache>
                <c:formatCode>General</c:formatCode>
                <c:ptCount val="5"/>
                <c:pt idx="0">
                  <c:v>153</c:v>
                </c:pt>
                <c:pt idx="1">
                  <c:v>178</c:v>
                </c:pt>
                <c:pt idx="2">
                  <c:v>184</c:v>
                </c:pt>
                <c:pt idx="3">
                  <c:v>170</c:v>
                </c:pt>
                <c:pt idx="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D-4CEC-A1C2-F5F25F308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088175"/>
        <c:axId val="306608463"/>
      </c:barChart>
      <c:catAx>
        <c:axId val="49508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08463"/>
        <c:crosses val="autoZero"/>
        <c:auto val="1"/>
        <c:lblAlgn val="ctr"/>
        <c:lblOffset val="100"/>
        <c:noMultiLvlLbl val="0"/>
      </c:catAx>
      <c:valAx>
        <c:axId val="3066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8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Category Distribution</a:t>
            </a:r>
            <a:endParaRPr lang="en-US"/>
          </a:p>
        </c:rich>
      </c:tx>
      <c:layout>
        <c:manualLayout>
          <c:xMode val="edge"/>
          <c:yMode val="edge"/>
          <c:x val="0.453060326523512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Categorical_Analysis!$B$20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Categorical_Analysis!$A$21:$A$23</c:f>
              <c:strCache>
                <c:ptCount val="3"/>
                <c:pt idx="0">
                  <c:v>Grocery</c:v>
                </c:pt>
                <c:pt idx="1">
                  <c:v>Education </c:v>
                </c:pt>
                <c:pt idx="2">
                  <c:v>Electronics</c:v>
                </c:pt>
              </c:strCache>
            </c:strRef>
          </c:cat>
          <c:val>
            <c:numRef>
              <c:f>Categorical_Analysis!$B$21:$B$23</c:f>
              <c:numCache>
                <c:formatCode>General</c:formatCode>
                <c:ptCount val="3"/>
                <c:pt idx="0">
                  <c:v>153</c:v>
                </c:pt>
                <c:pt idx="1">
                  <c:v>178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5-4350-A80E-C5B1F6C8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863087"/>
        <c:axId val="306521583"/>
      </c:barChart>
      <c:catAx>
        <c:axId val="4938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1583"/>
        <c:crosses val="autoZero"/>
        <c:auto val="1"/>
        <c:lblAlgn val="ctr"/>
        <c:lblOffset val="100"/>
        <c:noMultiLvlLbl val="0"/>
      </c:catAx>
      <c:valAx>
        <c:axId val="3065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86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Education </c:v>
              </c:pt>
              <c:pt idx="1">
                <c:v>Electronics</c:v>
              </c:pt>
              <c:pt idx="2">
                <c:v>Fashion</c:v>
              </c:pt>
              <c:pt idx="3">
                <c:v>Furniture</c:v>
              </c:pt>
              <c:pt idx="4">
                <c:v>Grocery</c:v>
              </c:pt>
            </c:strLit>
          </c:cat>
          <c:val>
            <c:numLit>
              <c:formatCode>General</c:formatCode>
              <c:ptCount val="5"/>
              <c:pt idx="0">
                <c:v>178</c:v>
              </c:pt>
              <c:pt idx="1">
                <c:v>354</c:v>
              </c:pt>
              <c:pt idx="2">
                <c:v>156</c:v>
              </c:pt>
              <c:pt idx="3">
                <c:v>159</c:v>
              </c:pt>
              <c:pt idx="4">
                <c:v>153</c:v>
              </c:pt>
            </c:numLit>
          </c:val>
          <c:extLst>
            <c:ext xmlns:c16="http://schemas.microsoft.com/office/drawing/2014/chart" uri="{C3380CC4-5D6E-409C-BE32-E72D297353CC}">
              <c16:uniqueId val="{00000000-D311-41A3-AC86-9FE5EAFFF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88831"/>
        <c:axId val="306610863"/>
      </c:barChart>
      <c:catAx>
        <c:axId val="38108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0863"/>
        <c:crosses val="autoZero"/>
        <c:auto val="1"/>
        <c:lblAlgn val="ctr"/>
        <c:lblOffset val="100"/>
        <c:noMultiLvlLbl val="0"/>
      </c:catAx>
      <c:valAx>
        <c:axId val="30661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8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Bengaluru</c:v>
              </c:pt>
              <c:pt idx="1">
                <c:v>Delhi</c:v>
              </c:pt>
              <c:pt idx="2">
                <c:v>Gaya</c:v>
              </c:pt>
              <c:pt idx="3">
                <c:v>Hyderbad</c:v>
              </c:pt>
              <c:pt idx="4">
                <c:v>Kolkata</c:v>
              </c:pt>
              <c:pt idx="5">
                <c:v>Mumbai</c:v>
              </c:pt>
              <c:pt idx="6">
                <c:v>Patna</c:v>
              </c:pt>
              <c:pt idx="7">
                <c:v>Pune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122</c:v>
              </c:pt>
              <c:pt idx="1">
                <c:v>125</c:v>
              </c:pt>
              <c:pt idx="2">
                <c:v>117</c:v>
              </c:pt>
              <c:pt idx="3">
                <c:v>125</c:v>
              </c:pt>
              <c:pt idx="4">
                <c:v>133</c:v>
              </c:pt>
              <c:pt idx="5">
                <c:v>131</c:v>
              </c:pt>
              <c:pt idx="6">
                <c:v>135</c:v>
              </c:pt>
              <c:pt idx="7">
                <c:v>99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562-40EC-8A3D-B7B085D1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83823"/>
        <c:axId val="306583503"/>
      </c:barChart>
      <c:catAx>
        <c:axId val="4943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83503"/>
        <c:crosses val="autoZero"/>
        <c:auto val="1"/>
        <c:lblAlgn val="ctr"/>
        <c:lblOffset val="100"/>
        <c:noMultiLvlLbl val="0"/>
      </c:catAx>
      <c:valAx>
        <c:axId val="3065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8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Book</c:v>
              </c:pt>
              <c:pt idx="1">
                <c:v>Chair</c:v>
              </c:pt>
              <c:pt idx="2">
                <c:v>Laptop</c:v>
              </c:pt>
              <c:pt idx="3">
                <c:v>Mobile</c:v>
              </c:pt>
              <c:pt idx="4">
                <c:v>Rice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178</c:v>
              </c:pt>
              <c:pt idx="1">
                <c:v>159</c:v>
              </c:pt>
              <c:pt idx="2">
                <c:v>170</c:v>
              </c:pt>
              <c:pt idx="3">
                <c:v>184</c:v>
              </c:pt>
              <c:pt idx="4">
                <c:v>153</c:v>
              </c:pt>
              <c:pt idx="5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0-B1E3-4600-9C19-27DF6CB89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79647"/>
        <c:axId val="306490383"/>
      </c:barChart>
      <c:catAx>
        <c:axId val="49437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90383"/>
        <c:crosses val="autoZero"/>
        <c:auto val="1"/>
        <c:lblAlgn val="ctr"/>
        <c:lblOffset val="100"/>
        <c:noMultiLvlLbl val="0"/>
      </c:catAx>
      <c:valAx>
        <c:axId val="30649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7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[Internship_Dataset_Working.xlsx.xlsx]Sheet1!PivotTable1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Correlrelaion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Sheet1!$A$4:$A$346</c:f>
              <c:strCache>
                <c:ptCount val="342"/>
                <c:pt idx="0">
                  <c:v>2025-01-01</c:v>
                </c:pt>
                <c:pt idx="1">
                  <c:v>2025-01-04</c:v>
                </c:pt>
                <c:pt idx="2">
                  <c:v>2025-01-05</c:v>
                </c:pt>
                <c:pt idx="3">
                  <c:v>2025-01-06</c:v>
                </c:pt>
                <c:pt idx="4">
                  <c:v>2025-01-07</c:v>
                </c:pt>
                <c:pt idx="5">
                  <c:v>2025-01-08</c:v>
                </c:pt>
                <c:pt idx="6">
                  <c:v>2025-01-09</c:v>
                </c:pt>
                <c:pt idx="7">
                  <c:v>2025-01-10</c:v>
                </c:pt>
                <c:pt idx="8">
                  <c:v>2025-01-11</c:v>
                </c:pt>
                <c:pt idx="9">
                  <c:v>2025-01-13</c:v>
                </c:pt>
                <c:pt idx="10">
                  <c:v>2025-01-14</c:v>
                </c:pt>
                <c:pt idx="11">
                  <c:v>2025-01-15</c:v>
                </c:pt>
                <c:pt idx="12">
                  <c:v>2025-01-16</c:v>
                </c:pt>
                <c:pt idx="13">
                  <c:v>2025-01-17</c:v>
                </c:pt>
                <c:pt idx="14">
                  <c:v>2025-01-18</c:v>
                </c:pt>
                <c:pt idx="15">
                  <c:v>2025-01-19</c:v>
                </c:pt>
                <c:pt idx="16">
                  <c:v>2025-01-20</c:v>
                </c:pt>
                <c:pt idx="17">
                  <c:v>2025-01-21</c:v>
                </c:pt>
                <c:pt idx="18">
                  <c:v>2025-01-22</c:v>
                </c:pt>
                <c:pt idx="19">
                  <c:v>2025-01-23</c:v>
                </c:pt>
                <c:pt idx="20">
                  <c:v>2025-01-24</c:v>
                </c:pt>
                <c:pt idx="21">
                  <c:v>2025-01-25</c:v>
                </c:pt>
                <c:pt idx="22">
                  <c:v>2025-01-26</c:v>
                </c:pt>
                <c:pt idx="23">
                  <c:v>2025-01-27</c:v>
                </c:pt>
                <c:pt idx="24">
                  <c:v>2025-01-28</c:v>
                </c:pt>
                <c:pt idx="25">
                  <c:v>2025-01-29</c:v>
                </c:pt>
                <c:pt idx="26">
                  <c:v>2025-01-30</c:v>
                </c:pt>
                <c:pt idx="27">
                  <c:v>2025-01-31</c:v>
                </c:pt>
                <c:pt idx="28">
                  <c:v>2025-02-02</c:v>
                </c:pt>
                <c:pt idx="29">
                  <c:v>2025-02-03</c:v>
                </c:pt>
                <c:pt idx="30">
                  <c:v>2025-02-04</c:v>
                </c:pt>
                <c:pt idx="31">
                  <c:v>2025-02-05</c:v>
                </c:pt>
                <c:pt idx="32">
                  <c:v>2025-02-07</c:v>
                </c:pt>
                <c:pt idx="33">
                  <c:v>2025-02-08</c:v>
                </c:pt>
                <c:pt idx="34">
                  <c:v>2025-02-09</c:v>
                </c:pt>
                <c:pt idx="35">
                  <c:v>2025-02-10</c:v>
                </c:pt>
                <c:pt idx="36">
                  <c:v>2025-02-11</c:v>
                </c:pt>
                <c:pt idx="37">
                  <c:v>2025-02-12</c:v>
                </c:pt>
                <c:pt idx="38">
                  <c:v>2025-02-13</c:v>
                </c:pt>
                <c:pt idx="39">
                  <c:v>2025-02-14</c:v>
                </c:pt>
                <c:pt idx="40">
                  <c:v>2025-02-15</c:v>
                </c:pt>
                <c:pt idx="41">
                  <c:v>2025-02-16</c:v>
                </c:pt>
                <c:pt idx="42">
                  <c:v>2025-02-17</c:v>
                </c:pt>
                <c:pt idx="43">
                  <c:v>2025-02-19</c:v>
                </c:pt>
                <c:pt idx="44">
                  <c:v>2025-02-20</c:v>
                </c:pt>
                <c:pt idx="45">
                  <c:v>2025-02-21</c:v>
                </c:pt>
                <c:pt idx="46">
                  <c:v>2025-02-22</c:v>
                </c:pt>
                <c:pt idx="47">
                  <c:v>2025-02-23</c:v>
                </c:pt>
                <c:pt idx="48">
                  <c:v>2025-02-24</c:v>
                </c:pt>
                <c:pt idx="49">
                  <c:v>2025-02-25</c:v>
                </c:pt>
                <c:pt idx="50">
                  <c:v>2025-02-26</c:v>
                </c:pt>
                <c:pt idx="51">
                  <c:v>2025-02-27</c:v>
                </c:pt>
                <c:pt idx="52">
                  <c:v>2025-02-28</c:v>
                </c:pt>
                <c:pt idx="53">
                  <c:v>2025-03-01</c:v>
                </c:pt>
                <c:pt idx="54">
                  <c:v>2025-03-02</c:v>
                </c:pt>
                <c:pt idx="55">
                  <c:v>2025-03-03</c:v>
                </c:pt>
                <c:pt idx="56">
                  <c:v>2025-03-04</c:v>
                </c:pt>
                <c:pt idx="57">
                  <c:v>2025-03-05</c:v>
                </c:pt>
                <c:pt idx="58">
                  <c:v>2025-03-07</c:v>
                </c:pt>
                <c:pt idx="59">
                  <c:v>2025-03-08</c:v>
                </c:pt>
                <c:pt idx="60">
                  <c:v>2025-03-09</c:v>
                </c:pt>
                <c:pt idx="61">
                  <c:v>2025-03-10</c:v>
                </c:pt>
                <c:pt idx="62">
                  <c:v>2025-03-11</c:v>
                </c:pt>
                <c:pt idx="63">
                  <c:v>2025-03-12</c:v>
                </c:pt>
                <c:pt idx="64">
                  <c:v>2025-03-13</c:v>
                </c:pt>
                <c:pt idx="65">
                  <c:v>2025-03-16</c:v>
                </c:pt>
                <c:pt idx="66">
                  <c:v>2025-03-17</c:v>
                </c:pt>
                <c:pt idx="67">
                  <c:v>2025-03-18</c:v>
                </c:pt>
                <c:pt idx="68">
                  <c:v>2025-03-19</c:v>
                </c:pt>
                <c:pt idx="69">
                  <c:v>2025-03-20</c:v>
                </c:pt>
                <c:pt idx="70">
                  <c:v>2025-03-21</c:v>
                </c:pt>
                <c:pt idx="71">
                  <c:v>2025-03-22</c:v>
                </c:pt>
                <c:pt idx="72">
                  <c:v>2025-03-23</c:v>
                </c:pt>
                <c:pt idx="73">
                  <c:v>2025-03-25</c:v>
                </c:pt>
                <c:pt idx="74">
                  <c:v>2025-03-26</c:v>
                </c:pt>
                <c:pt idx="75">
                  <c:v>2025-03-27</c:v>
                </c:pt>
                <c:pt idx="76">
                  <c:v>2025-03-28</c:v>
                </c:pt>
                <c:pt idx="77">
                  <c:v>2025-03-29</c:v>
                </c:pt>
                <c:pt idx="78">
                  <c:v>2025-03-30</c:v>
                </c:pt>
                <c:pt idx="79">
                  <c:v>2025-03-31</c:v>
                </c:pt>
                <c:pt idx="80">
                  <c:v>2025-04-01</c:v>
                </c:pt>
                <c:pt idx="81">
                  <c:v>2025-04-02</c:v>
                </c:pt>
                <c:pt idx="82">
                  <c:v>2025-04-03</c:v>
                </c:pt>
                <c:pt idx="83">
                  <c:v>2025-04-04</c:v>
                </c:pt>
                <c:pt idx="84">
                  <c:v>2025-04-05</c:v>
                </c:pt>
                <c:pt idx="85">
                  <c:v>2025-04-06</c:v>
                </c:pt>
                <c:pt idx="86">
                  <c:v>2025-04-07</c:v>
                </c:pt>
                <c:pt idx="87">
                  <c:v>2025-04-08</c:v>
                </c:pt>
                <c:pt idx="88">
                  <c:v>2025-04-09</c:v>
                </c:pt>
                <c:pt idx="89">
                  <c:v>2025-04-10</c:v>
                </c:pt>
                <c:pt idx="90">
                  <c:v>2025-04-11</c:v>
                </c:pt>
                <c:pt idx="91">
                  <c:v>2025-04-12</c:v>
                </c:pt>
                <c:pt idx="92">
                  <c:v>2025-04-13</c:v>
                </c:pt>
                <c:pt idx="93">
                  <c:v>2025-04-14</c:v>
                </c:pt>
                <c:pt idx="94">
                  <c:v>2025-04-15</c:v>
                </c:pt>
                <c:pt idx="95">
                  <c:v>2025-04-16</c:v>
                </c:pt>
                <c:pt idx="96">
                  <c:v>2025-04-17</c:v>
                </c:pt>
                <c:pt idx="97">
                  <c:v>2025-04-18</c:v>
                </c:pt>
                <c:pt idx="98">
                  <c:v>2025-04-19</c:v>
                </c:pt>
                <c:pt idx="99">
                  <c:v>2025-04-20</c:v>
                </c:pt>
                <c:pt idx="100">
                  <c:v>2025-04-21</c:v>
                </c:pt>
                <c:pt idx="101">
                  <c:v>2025-04-22</c:v>
                </c:pt>
                <c:pt idx="102">
                  <c:v>2025-04-23</c:v>
                </c:pt>
                <c:pt idx="103">
                  <c:v>2025-04-24</c:v>
                </c:pt>
                <c:pt idx="104">
                  <c:v>2025-04-25</c:v>
                </c:pt>
                <c:pt idx="105">
                  <c:v>2025-04-26</c:v>
                </c:pt>
                <c:pt idx="106">
                  <c:v>2025-04-27</c:v>
                </c:pt>
                <c:pt idx="107">
                  <c:v>2025-04-28</c:v>
                </c:pt>
                <c:pt idx="108">
                  <c:v>2025-04-29</c:v>
                </c:pt>
                <c:pt idx="109">
                  <c:v>2025-04-30</c:v>
                </c:pt>
                <c:pt idx="110">
                  <c:v>2025-05-01</c:v>
                </c:pt>
                <c:pt idx="111">
                  <c:v>2025-05-02</c:v>
                </c:pt>
                <c:pt idx="112">
                  <c:v>2025-05-03</c:v>
                </c:pt>
                <c:pt idx="113">
                  <c:v>2025-05-04</c:v>
                </c:pt>
                <c:pt idx="114">
                  <c:v>2025-05-05</c:v>
                </c:pt>
                <c:pt idx="115">
                  <c:v>2025-05-06</c:v>
                </c:pt>
                <c:pt idx="116">
                  <c:v>2025-05-07</c:v>
                </c:pt>
                <c:pt idx="117">
                  <c:v>2025-05-08</c:v>
                </c:pt>
                <c:pt idx="118">
                  <c:v>2025-05-09</c:v>
                </c:pt>
                <c:pt idx="119">
                  <c:v>2025-05-10</c:v>
                </c:pt>
                <c:pt idx="120">
                  <c:v>2025-05-11</c:v>
                </c:pt>
                <c:pt idx="121">
                  <c:v>2025-05-12</c:v>
                </c:pt>
                <c:pt idx="122">
                  <c:v>2025-05-13</c:v>
                </c:pt>
                <c:pt idx="123">
                  <c:v>2025-05-14</c:v>
                </c:pt>
                <c:pt idx="124">
                  <c:v>2025-05-15</c:v>
                </c:pt>
                <c:pt idx="125">
                  <c:v>2025-05-16</c:v>
                </c:pt>
                <c:pt idx="126">
                  <c:v>2025-05-17</c:v>
                </c:pt>
                <c:pt idx="127">
                  <c:v>2025-05-18</c:v>
                </c:pt>
                <c:pt idx="128">
                  <c:v>2025-05-19</c:v>
                </c:pt>
                <c:pt idx="129">
                  <c:v>2025-05-20</c:v>
                </c:pt>
                <c:pt idx="130">
                  <c:v>2025-05-21</c:v>
                </c:pt>
                <c:pt idx="131">
                  <c:v>2025-05-22</c:v>
                </c:pt>
                <c:pt idx="132">
                  <c:v>2025-05-24</c:v>
                </c:pt>
                <c:pt idx="133">
                  <c:v>2025-05-26</c:v>
                </c:pt>
                <c:pt idx="134">
                  <c:v>2025-05-27</c:v>
                </c:pt>
                <c:pt idx="135">
                  <c:v>2025-05-28</c:v>
                </c:pt>
                <c:pt idx="136">
                  <c:v>2025-05-29</c:v>
                </c:pt>
                <c:pt idx="137">
                  <c:v>2025-05-30</c:v>
                </c:pt>
                <c:pt idx="138">
                  <c:v>2025-05-31</c:v>
                </c:pt>
                <c:pt idx="139">
                  <c:v>2025-06-01</c:v>
                </c:pt>
                <c:pt idx="140">
                  <c:v>2025-06-02</c:v>
                </c:pt>
                <c:pt idx="141">
                  <c:v>2025-06-03</c:v>
                </c:pt>
                <c:pt idx="142">
                  <c:v>2025-06-04</c:v>
                </c:pt>
                <c:pt idx="143">
                  <c:v>2025-06-05</c:v>
                </c:pt>
                <c:pt idx="144">
                  <c:v>2025-06-06</c:v>
                </c:pt>
                <c:pt idx="145">
                  <c:v>2025-06-07</c:v>
                </c:pt>
                <c:pt idx="146">
                  <c:v>2025-06-08</c:v>
                </c:pt>
                <c:pt idx="147">
                  <c:v>2025-06-10</c:v>
                </c:pt>
                <c:pt idx="148">
                  <c:v>2025-06-11</c:v>
                </c:pt>
                <c:pt idx="149">
                  <c:v>2025-06-12</c:v>
                </c:pt>
                <c:pt idx="150">
                  <c:v>2025-06-13</c:v>
                </c:pt>
                <c:pt idx="151">
                  <c:v>2025-06-14</c:v>
                </c:pt>
                <c:pt idx="152">
                  <c:v>2025-06-15</c:v>
                </c:pt>
                <c:pt idx="153">
                  <c:v>2025-06-16</c:v>
                </c:pt>
                <c:pt idx="154">
                  <c:v>2025-06-17</c:v>
                </c:pt>
                <c:pt idx="155">
                  <c:v>2025-06-18</c:v>
                </c:pt>
                <c:pt idx="156">
                  <c:v>2025-06-19</c:v>
                </c:pt>
                <c:pt idx="157">
                  <c:v>2025-06-20</c:v>
                </c:pt>
                <c:pt idx="158">
                  <c:v>2025-06-21</c:v>
                </c:pt>
                <c:pt idx="159">
                  <c:v>2025-06-22</c:v>
                </c:pt>
                <c:pt idx="160">
                  <c:v>2025-06-24</c:v>
                </c:pt>
                <c:pt idx="161">
                  <c:v>2025-06-25</c:v>
                </c:pt>
                <c:pt idx="162">
                  <c:v>2025-06-26</c:v>
                </c:pt>
                <c:pt idx="163">
                  <c:v>2025-06-27</c:v>
                </c:pt>
                <c:pt idx="164">
                  <c:v>2025-06-28</c:v>
                </c:pt>
                <c:pt idx="165">
                  <c:v>2025-06-29</c:v>
                </c:pt>
                <c:pt idx="166">
                  <c:v>2025-06-30</c:v>
                </c:pt>
                <c:pt idx="167">
                  <c:v>2025-07-01</c:v>
                </c:pt>
                <c:pt idx="168">
                  <c:v>2025-07-03</c:v>
                </c:pt>
                <c:pt idx="169">
                  <c:v>2025-07-04</c:v>
                </c:pt>
                <c:pt idx="170">
                  <c:v>2025-07-05</c:v>
                </c:pt>
                <c:pt idx="171">
                  <c:v>2025-07-06</c:v>
                </c:pt>
                <c:pt idx="172">
                  <c:v>2025-07-07</c:v>
                </c:pt>
                <c:pt idx="173">
                  <c:v>2025-07-08</c:v>
                </c:pt>
                <c:pt idx="174">
                  <c:v>2025-07-09</c:v>
                </c:pt>
                <c:pt idx="175">
                  <c:v>2025-07-10</c:v>
                </c:pt>
                <c:pt idx="176">
                  <c:v>2025-07-11</c:v>
                </c:pt>
                <c:pt idx="177">
                  <c:v>2025-07-12</c:v>
                </c:pt>
                <c:pt idx="178">
                  <c:v>2025-07-13</c:v>
                </c:pt>
                <c:pt idx="179">
                  <c:v>2025-07-14</c:v>
                </c:pt>
                <c:pt idx="180">
                  <c:v>2025-07-15</c:v>
                </c:pt>
                <c:pt idx="181">
                  <c:v>2025-07-16</c:v>
                </c:pt>
                <c:pt idx="182">
                  <c:v>2025-07-18</c:v>
                </c:pt>
                <c:pt idx="183">
                  <c:v>2025-07-20</c:v>
                </c:pt>
                <c:pt idx="184">
                  <c:v>2025-07-21</c:v>
                </c:pt>
                <c:pt idx="185">
                  <c:v>2025-07-22</c:v>
                </c:pt>
                <c:pt idx="186">
                  <c:v>2025-07-23</c:v>
                </c:pt>
                <c:pt idx="187">
                  <c:v>2025-07-24</c:v>
                </c:pt>
                <c:pt idx="188">
                  <c:v>2025-07-25</c:v>
                </c:pt>
                <c:pt idx="189">
                  <c:v>2025-07-27</c:v>
                </c:pt>
                <c:pt idx="190">
                  <c:v>2025-07-28</c:v>
                </c:pt>
                <c:pt idx="191">
                  <c:v>2025-07-29</c:v>
                </c:pt>
                <c:pt idx="192">
                  <c:v>2025-07-30</c:v>
                </c:pt>
                <c:pt idx="193">
                  <c:v>2025-07-31</c:v>
                </c:pt>
                <c:pt idx="194">
                  <c:v>2025-08-01</c:v>
                </c:pt>
                <c:pt idx="195">
                  <c:v>2025-08-02</c:v>
                </c:pt>
                <c:pt idx="196">
                  <c:v>2025-08-03</c:v>
                </c:pt>
                <c:pt idx="197">
                  <c:v>2025-08-04</c:v>
                </c:pt>
                <c:pt idx="198">
                  <c:v>2025-08-06</c:v>
                </c:pt>
                <c:pt idx="199">
                  <c:v>2025-08-08</c:v>
                </c:pt>
                <c:pt idx="200">
                  <c:v>2025-08-09</c:v>
                </c:pt>
                <c:pt idx="201">
                  <c:v>2025-08-10</c:v>
                </c:pt>
                <c:pt idx="202">
                  <c:v>2025-08-11</c:v>
                </c:pt>
                <c:pt idx="203">
                  <c:v>2025-08-12</c:v>
                </c:pt>
                <c:pt idx="204">
                  <c:v>2025-08-13</c:v>
                </c:pt>
                <c:pt idx="205">
                  <c:v>2025-08-15</c:v>
                </c:pt>
                <c:pt idx="206">
                  <c:v>2025-08-16</c:v>
                </c:pt>
                <c:pt idx="207">
                  <c:v>2025-08-17</c:v>
                </c:pt>
                <c:pt idx="208">
                  <c:v>2025-08-18</c:v>
                </c:pt>
                <c:pt idx="209">
                  <c:v>2025-08-19</c:v>
                </c:pt>
                <c:pt idx="210">
                  <c:v>2025-08-20</c:v>
                </c:pt>
                <c:pt idx="211">
                  <c:v>2025-08-21</c:v>
                </c:pt>
                <c:pt idx="212">
                  <c:v>2025-08-22</c:v>
                </c:pt>
                <c:pt idx="213">
                  <c:v>2025-08-24</c:v>
                </c:pt>
                <c:pt idx="214">
                  <c:v>2025-08-25</c:v>
                </c:pt>
                <c:pt idx="215">
                  <c:v>2025-08-26</c:v>
                </c:pt>
                <c:pt idx="216">
                  <c:v>2025-08-27</c:v>
                </c:pt>
                <c:pt idx="217">
                  <c:v>2025-08-28</c:v>
                </c:pt>
                <c:pt idx="218">
                  <c:v>2025-08-29</c:v>
                </c:pt>
                <c:pt idx="219">
                  <c:v>2025-08-30</c:v>
                </c:pt>
                <c:pt idx="220">
                  <c:v>2025-08-31</c:v>
                </c:pt>
                <c:pt idx="221">
                  <c:v>2025-09-01</c:v>
                </c:pt>
                <c:pt idx="222">
                  <c:v>2025-09-02</c:v>
                </c:pt>
                <c:pt idx="223">
                  <c:v>2025-09-03</c:v>
                </c:pt>
                <c:pt idx="224">
                  <c:v>2025-09-04</c:v>
                </c:pt>
                <c:pt idx="225">
                  <c:v>2025-09-05</c:v>
                </c:pt>
                <c:pt idx="226">
                  <c:v>2025-09-06</c:v>
                </c:pt>
                <c:pt idx="227">
                  <c:v>2025-09-07</c:v>
                </c:pt>
                <c:pt idx="228">
                  <c:v>2025-09-08</c:v>
                </c:pt>
                <c:pt idx="229">
                  <c:v>2025-09-09</c:v>
                </c:pt>
                <c:pt idx="230">
                  <c:v>2025-09-10</c:v>
                </c:pt>
                <c:pt idx="231">
                  <c:v>2025-09-11</c:v>
                </c:pt>
                <c:pt idx="232">
                  <c:v>2025-09-12</c:v>
                </c:pt>
                <c:pt idx="233">
                  <c:v>2025-09-13</c:v>
                </c:pt>
                <c:pt idx="234">
                  <c:v>2025-09-14</c:v>
                </c:pt>
                <c:pt idx="235">
                  <c:v>2025-09-15</c:v>
                </c:pt>
                <c:pt idx="236">
                  <c:v>2025-09-16</c:v>
                </c:pt>
                <c:pt idx="237">
                  <c:v>2025-09-17</c:v>
                </c:pt>
                <c:pt idx="238">
                  <c:v>2025-09-18</c:v>
                </c:pt>
                <c:pt idx="239">
                  <c:v>2025-09-19</c:v>
                </c:pt>
                <c:pt idx="240">
                  <c:v>2025-09-20</c:v>
                </c:pt>
                <c:pt idx="241">
                  <c:v>2025-09-21</c:v>
                </c:pt>
                <c:pt idx="242">
                  <c:v>2025-09-22</c:v>
                </c:pt>
                <c:pt idx="243">
                  <c:v>2025-09-23</c:v>
                </c:pt>
                <c:pt idx="244">
                  <c:v>2025-09-24</c:v>
                </c:pt>
                <c:pt idx="245">
                  <c:v>2025-09-25</c:v>
                </c:pt>
                <c:pt idx="246">
                  <c:v>2025-09-26</c:v>
                </c:pt>
                <c:pt idx="247">
                  <c:v>2025-09-27</c:v>
                </c:pt>
                <c:pt idx="248">
                  <c:v>2025-09-28</c:v>
                </c:pt>
                <c:pt idx="249">
                  <c:v>2025-09-29</c:v>
                </c:pt>
                <c:pt idx="250">
                  <c:v>2025-09-30</c:v>
                </c:pt>
                <c:pt idx="251">
                  <c:v>2025-10-01</c:v>
                </c:pt>
                <c:pt idx="252">
                  <c:v>2025-10-02</c:v>
                </c:pt>
                <c:pt idx="253">
                  <c:v>2025-10-03</c:v>
                </c:pt>
                <c:pt idx="254">
                  <c:v>2025-10-04</c:v>
                </c:pt>
                <c:pt idx="255">
                  <c:v>2025-10-05</c:v>
                </c:pt>
                <c:pt idx="256">
                  <c:v>2025-10-06</c:v>
                </c:pt>
                <c:pt idx="257">
                  <c:v>2025-10-07</c:v>
                </c:pt>
                <c:pt idx="258">
                  <c:v>2025-10-08</c:v>
                </c:pt>
                <c:pt idx="259">
                  <c:v>2025-10-09</c:v>
                </c:pt>
                <c:pt idx="260">
                  <c:v>2025-10-10</c:v>
                </c:pt>
                <c:pt idx="261">
                  <c:v>2025-10-11</c:v>
                </c:pt>
                <c:pt idx="262">
                  <c:v>2025-10-12</c:v>
                </c:pt>
                <c:pt idx="263">
                  <c:v>2025-10-13</c:v>
                </c:pt>
                <c:pt idx="264">
                  <c:v>2025-10-14</c:v>
                </c:pt>
                <c:pt idx="265">
                  <c:v>2025-10-15</c:v>
                </c:pt>
                <c:pt idx="266">
                  <c:v>2025-10-16</c:v>
                </c:pt>
                <c:pt idx="267">
                  <c:v>2025-10-17</c:v>
                </c:pt>
                <c:pt idx="268">
                  <c:v>2025-10-18</c:v>
                </c:pt>
                <c:pt idx="269">
                  <c:v>2025-10-19</c:v>
                </c:pt>
                <c:pt idx="270">
                  <c:v>2025-10-20</c:v>
                </c:pt>
                <c:pt idx="271">
                  <c:v>2025-10-21</c:v>
                </c:pt>
                <c:pt idx="272">
                  <c:v>2025-10-22</c:v>
                </c:pt>
                <c:pt idx="273">
                  <c:v>2025-10-23</c:v>
                </c:pt>
                <c:pt idx="274">
                  <c:v>2025-10-24</c:v>
                </c:pt>
                <c:pt idx="275">
                  <c:v>2025-10-25</c:v>
                </c:pt>
                <c:pt idx="276">
                  <c:v>2025-10-26</c:v>
                </c:pt>
                <c:pt idx="277">
                  <c:v>2025-10-28</c:v>
                </c:pt>
                <c:pt idx="278">
                  <c:v>2025-10-29</c:v>
                </c:pt>
                <c:pt idx="279">
                  <c:v>2025-10-31</c:v>
                </c:pt>
                <c:pt idx="280">
                  <c:v>2025-11-01</c:v>
                </c:pt>
                <c:pt idx="281">
                  <c:v>2025-11-02</c:v>
                </c:pt>
                <c:pt idx="282">
                  <c:v>2025-11-03</c:v>
                </c:pt>
                <c:pt idx="283">
                  <c:v>2025-11-04</c:v>
                </c:pt>
                <c:pt idx="284">
                  <c:v>2025-11-05</c:v>
                </c:pt>
                <c:pt idx="285">
                  <c:v>2025-11-06</c:v>
                </c:pt>
                <c:pt idx="286">
                  <c:v>2025-11-07</c:v>
                </c:pt>
                <c:pt idx="287">
                  <c:v>2025-11-08</c:v>
                </c:pt>
                <c:pt idx="288">
                  <c:v>2025-11-09</c:v>
                </c:pt>
                <c:pt idx="289">
                  <c:v>2025-11-10</c:v>
                </c:pt>
                <c:pt idx="290">
                  <c:v>2025-11-11</c:v>
                </c:pt>
                <c:pt idx="291">
                  <c:v>2025-11-12</c:v>
                </c:pt>
                <c:pt idx="292">
                  <c:v>2025-11-13</c:v>
                </c:pt>
                <c:pt idx="293">
                  <c:v>2025-11-14</c:v>
                </c:pt>
                <c:pt idx="294">
                  <c:v>2025-11-15</c:v>
                </c:pt>
                <c:pt idx="295">
                  <c:v>2025-11-16</c:v>
                </c:pt>
                <c:pt idx="296">
                  <c:v>2025-11-17</c:v>
                </c:pt>
                <c:pt idx="297">
                  <c:v>2025-11-18</c:v>
                </c:pt>
                <c:pt idx="298">
                  <c:v>2025-11-19</c:v>
                </c:pt>
                <c:pt idx="299">
                  <c:v>2025-11-20</c:v>
                </c:pt>
                <c:pt idx="300">
                  <c:v>2025-11-21</c:v>
                </c:pt>
                <c:pt idx="301">
                  <c:v>2025-11-22</c:v>
                </c:pt>
                <c:pt idx="302">
                  <c:v>2025-11-23</c:v>
                </c:pt>
                <c:pt idx="303">
                  <c:v>2025-11-24</c:v>
                </c:pt>
                <c:pt idx="304">
                  <c:v>2025-11-25</c:v>
                </c:pt>
                <c:pt idx="305">
                  <c:v>2025-11-26</c:v>
                </c:pt>
                <c:pt idx="306">
                  <c:v>2025-11-27</c:v>
                </c:pt>
                <c:pt idx="307">
                  <c:v>2025-11-28</c:v>
                </c:pt>
                <c:pt idx="308">
                  <c:v>2025-11-29</c:v>
                </c:pt>
                <c:pt idx="309">
                  <c:v>2025-11-30</c:v>
                </c:pt>
                <c:pt idx="310">
                  <c:v>2025-12-01</c:v>
                </c:pt>
                <c:pt idx="311">
                  <c:v>2025-12-02</c:v>
                </c:pt>
                <c:pt idx="312">
                  <c:v>2025-12-03</c:v>
                </c:pt>
                <c:pt idx="313">
                  <c:v>2025-12-04</c:v>
                </c:pt>
                <c:pt idx="314">
                  <c:v>2025-12-05</c:v>
                </c:pt>
                <c:pt idx="315">
                  <c:v>2025-12-06</c:v>
                </c:pt>
                <c:pt idx="316">
                  <c:v>2025-12-07</c:v>
                </c:pt>
                <c:pt idx="317">
                  <c:v>2025-12-08</c:v>
                </c:pt>
                <c:pt idx="318">
                  <c:v>2025-12-09</c:v>
                </c:pt>
                <c:pt idx="319">
                  <c:v>2025-12-10</c:v>
                </c:pt>
                <c:pt idx="320">
                  <c:v>2025-12-11</c:v>
                </c:pt>
                <c:pt idx="321">
                  <c:v>2025-12-12</c:v>
                </c:pt>
                <c:pt idx="322">
                  <c:v>2025-12-13</c:v>
                </c:pt>
                <c:pt idx="323">
                  <c:v>2025-12-14</c:v>
                </c:pt>
                <c:pt idx="324">
                  <c:v>2025-12-15</c:v>
                </c:pt>
                <c:pt idx="325">
                  <c:v>2025-12-16</c:v>
                </c:pt>
                <c:pt idx="326">
                  <c:v>2025-12-17</c:v>
                </c:pt>
                <c:pt idx="327">
                  <c:v>2025-12-18</c:v>
                </c:pt>
                <c:pt idx="328">
                  <c:v>2025-12-19</c:v>
                </c:pt>
                <c:pt idx="329">
                  <c:v>2025-12-20</c:v>
                </c:pt>
                <c:pt idx="330">
                  <c:v>2025-12-21</c:v>
                </c:pt>
                <c:pt idx="331">
                  <c:v>2025-12-22</c:v>
                </c:pt>
                <c:pt idx="332">
                  <c:v>2025-12-23</c:v>
                </c:pt>
                <c:pt idx="333">
                  <c:v>2025-12-24</c:v>
                </c:pt>
                <c:pt idx="334">
                  <c:v>2025-12-25</c:v>
                </c:pt>
                <c:pt idx="335">
                  <c:v>2025-12-26</c:v>
                </c:pt>
                <c:pt idx="336">
                  <c:v>2025-12-27</c:v>
                </c:pt>
                <c:pt idx="337">
                  <c:v>2025-12-28</c:v>
                </c:pt>
                <c:pt idx="338">
                  <c:v>2025-12-29</c:v>
                </c:pt>
                <c:pt idx="339">
                  <c:v>2025-12-30</c:v>
                </c:pt>
                <c:pt idx="340">
                  <c:v>2025-12-31</c:v>
                </c:pt>
                <c:pt idx="341">
                  <c:v>2026-01-01</c:v>
                </c:pt>
              </c:strCache>
            </c:strRef>
          </c:cat>
          <c:val>
            <c:numRef>
              <c:f>Sheet1!$B$4:$B$346</c:f>
              <c:numCache>
                <c:formatCode>General</c:formatCode>
                <c:ptCount val="342"/>
                <c:pt idx="0">
                  <c:v>23787.599999999999</c:v>
                </c:pt>
                <c:pt idx="1">
                  <c:v>307641.34999999998</c:v>
                </c:pt>
                <c:pt idx="2">
                  <c:v>194749.86</c:v>
                </c:pt>
                <c:pt idx="3">
                  <c:v>721080.92</c:v>
                </c:pt>
                <c:pt idx="4">
                  <c:v>591822.16</c:v>
                </c:pt>
                <c:pt idx="5">
                  <c:v>72852.100000000006</c:v>
                </c:pt>
                <c:pt idx="6">
                  <c:v>539901.84000000008</c:v>
                </c:pt>
                <c:pt idx="7">
                  <c:v>625004.75</c:v>
                </c:pt>
                <c:pt idx="8">
                  <c:v>853136.58</c:v>
                </c:pt>
                <c:pt idx="9">
                  <c:v>296338.06</c:v>
                </c:pt>
                <c:pt idx="10">
                  <c:v>696953.82</c:v>
                </c:pt>
                <c:pt idx="11">
                  <c:v>509436.29</c:v>
                </c:pt>
                <c:pt idx="12">
                  <c:v>207548.11</c:v>
                </c:pt>
                <c:pt idx="13">
                  <c:v>295210.68</c:v>
                </c:pt>
                <c:pt idx="14">
                  <c:v>682502.23</c:v>
                </c:pt>
                <c:pt idx="15">
                  <c:v>200969.45</c:v>
                </c:pt>
                <c:pt idx="16">
                  <c:v>294192.93</c:v>
                </c:pt>
                <c:pt idx="17">
                  <c:v>39400.400000000001</c:v>
                </c:pt>
                <c:pt idx="18">
                  <c:v>688914.03</c:v>
                </c:pt>
                <c:pt idx="19">
                  <c:v>423571.4</c:v>
                </c:pt>
                <c:pt idx="20">
                  <c:v>51372.25</c:v>
                </c:pt>
                <c:pt idx="21">
                  <c:v>226245.78</c:v>
                </c:pt>
                <c:pt idx="22">
                  <c:v>385886.58</c:v>
                </c:pt>
                <c:pt idx="23">
                  <c:v>152156.34</c:v>
                </c:pt>
                <c:pt idx="24">
                  <c:v>222112.21</c:v>
                </c:pt>
                <c:pt idx="25">
                  <c:v>65068.15</c:v>
                </c:pt>
                <c:pt idx="26">
                  <c:v>463565.18000000005</c:v>
                </c:pt>
                <c:pt idx="27">
                  <c:v>264769.68</c:v>
                </c:pt>
                <c:pt idx="28">
                  <c:v>274084.29000000004</c:v>
                </c:pt>
                <c:pt idx="29">
                  <c:v>238516.14</c:v>
                </c:pt>
                <c:pt idx="30">
                  <c:v>231341.36</c:v>
                </c:pt>
                <c:pt idx="31">
                  <c:v>213936.9</c:v>
                </c:pt>
                <c:pt idx="32">
                  <c:v>719913.01</c:v>
                </c:pt>
                <c:pt idx="33">
                  <c:v>1171103.33</c:v>
                </c:pt>
                <c:pt idx="34">
                  <c:v>219690.99999999997</c:v>
                </c:pt>
                <c:pt idx="35">
                  <c:v>211014.96</c:v>
                </c:pt>
                <c:pt idx="36">
                  <c:v>499455.77</c:v>
                </c:pt>
                <c:pt idx="37">
                  <c:v>317658.06</c:v>
                </c:pt>
                <c:pt idx="38">
                  <c:v>1578490.76</c:v>
                </c:pt>
                <c:pt idx="39">
                  <c:v>267031.24</c:v>
                </c:pt>
                <c:pt idx="40">
                  <c:v>98255.31</c:v>
                </c:pt>
                <c:pt idx="41">
                  <c:v>431225.59</c:v>
                </c:pt>
                <c:pt idx="42">
                  <c:v>91618.18</c:v>
                </c:pt>
                <c:pt idx="43">
                  <c:v>228629.35</c:v>
                </c:pt>
                <c:pt idx="44">
                  <c:v>665376.86</c:v>
                </c:pt>
                <c:pt idx="45">
                  <c:v>214543.4</c:v>
                </c:pt>
                <c:pt idx="46">
                  <c:v>638622.62000000011</c:v>
                </c:pt>
                <c:pt idx="47">
                  <c:v>640792.78</c:v>
                </c:pt>
                <c:pt idx="48">
                  <c:v>737058.21</c:v>
                </c:pt>
                <c:pt idx="49">
                  <c:v>367008.04999999993</c:v>
                </c:pt>
                <c:pt idx="50">
                  <c:v>397280.78</c:v>
                </c:pt>
                <c:pt idx="51">
                  <c:v>446010.50000000012</c:v>
                </c:pt>
                <c:pt idx="52">
                  <c:v>612523.01</c:v>
                </c:pt>
                <c:pt idx="53">
                  <c:v>16499.400000000001</c:v>
                </c:pt>
                <c:pt idx="54">
                  <c:v>843798.3899999999</c:v>
                </c:pt>
                <c:pt idx="55">
                  <c:v>299490.08</c:v>
                </c:pt>
                <c:pt idx="56">
                  <c:v>334559.88</c:v>
                </c:pt>
                <c:pt idx="57">
                  <c:v>609548.08000000007</c:v>
                </c:pt>
                <c:pt idx="58">
                  <c:v>1245838.4500000002</c:v>
                </c:pt>
                <c:pt idx="59">
                  <c:v>385266.98</c:v>
                </c:pt>
                <c:pt idx="60">
                  <c:v>437035.54000000004</c:v>
                </c:pt>
                <c:pt idx="61">
                  <c:v>625974.22</c:v>
                </c:pt>
                <c:pt idx="62">
                  <c:v>36587.919999999998</c:v>
                </c:pt>
                <c:pt idx="63">
                  <c:v>1016615.4500000001</c:v>
                </c:pt>
                <c:pt idx="64">
                  <c:v>533015.02</c:v>
                </c:pt>
                <c:pt idx="65">
                  <c:v>435872.24</c:v>
                </c:pt>
                <c:pt idx="66">
                  <c:v>623708.92000000004</c:v>
                </c:pt>
                <c:pt idx="67">
                  <c:v>193512.53</c:v>
                </c:pt>
                <c:pt idx="68">
                  <c:v>324318.12</c:v>
                </c:pt>
                <c:pt idx="69">
                  <c:v>648758.70000000007</c:v>
                </c:pt>
                <c:pt idx="70">
                  <c:v>483010.12</c:v>
                </c:pt>
                <c:pt idx="71">
                  <c:v>202208.76</c:v>
                </c:pt>
                <c:pt idx="72">
                  <c:v>197027.7</c:v>
                </c:pt>
                <c:pt idx="73">
                  <c:v>1001459.48</c:v>
                </c:pt>
                <c:pt idx="74">
                  <c:v>487506.6</c:v>
                </c:pt>
                <c:pt idx="75">
                  <c:v>1044614.5099999999</c:v>
                </c:pt>
                <c:pt idx="76">
                  <c:v>67695.930000000008</c:v>
                </c:pt>
                <c:pt idx="77">
                  <c:v>125483.1</c:v>
                </c:pt>
                <c:pt idx="78">
                  <c:v>828268.6</c:v>
                </c:pt>
                <c:pt idx="79">
                  <c:v>12225.22</c:v>
                </c:pt>
                <c:pt idx="80">
                  <c:v>250111.04</c:v>
                </c:pt>
                <c:pt idx="81">
                  <c:v>1170455.07</c:v>
                </c:pt>
                <c:pt idx="82">
                  <c:v>425093.49</c:v>
                </c:pt>
                <c:pt idx="83">
                  <c:v>568465.05000000005</c:v>
                </c:pt>
                <c:pt idx="84">
                  <c:v>720567.42999999993</c:v>
                </c:pt>
                <c:pt idx="85">
                  <c:v>106419.88</c:v>
                </c:pt>
                <c:pt idx="86">
                  <c:v>283722.64</c:v>
                </c:pt>
                <c:pt idx="87">
                  <c:v>241032.51</c:v>
                </c:pt>
                <c:pt idx="88">
                  <c:v>47539.35</c:v>
                </c:pt>
                <c:pt idx="89">
                  <c:v>959013.60999999987</c:v>
                </c:pt>
                <c:pt idx="90">
                  <c:v>22073.279999999999</c:v>
                </c:pt>
                <c:pt idx="91">
                  <c:v>684713.52</c:v>
                </c:pt>
                <c:pt idx="92">
                  <c:v>261998.07999999999</c:v>
                </c:pt>
                <c:pt idx="93">
                  <c:v>86527.34</c:v>
                </c:pt>
                <c:pt idx="94">
                  <c:v>153670.14000000001</c:v>
                </c:pt>
                <c:pt idx="95">
                  <c:v>1429318.04</c:v>
                </c:pt>
                <c:pt idx="96">
                  <c:v>286616.56000000006</c:v>
                </c:pt>
                <c:pt idx="97">
                  <c:v>869053.62000000011</c:v>
                </c:pt>
                <c:pt idx="98">
                  <c:v>186072.9</c:v>
                </c:pt>
                <c:pt idx="99">
                  <c:v>283800.74</c:v>
                </c:pt>
                <c:pt idx="100">
                  <c:v>415241.48</c:v>
                </c:pt>
                <c:pt idx="101">
                  <c:v>175335.5</c:v>
                </c:pt>
                <c:pt idx="102">
                  <c:v>370815.73</c:v>
                </c:pt>
                <c:pt idx="103">
                  <c:v>206248.56</c:v>
                </c:pt>
                <c:pt idx="104">
                  <c:v>216126.48</c:v>
                </c:pt>
                <c:pt idx="105">
                  <c:v>284944.09999999998</c:v>
                </c:pt>
                <c:pt idx="106">
                  <c:v>200684.65000000002</c:v>
                </c:pt>
                <c:pt idx="107">
                  <c:v>928766.69</c:v>
                </c:pt>
                <c:pt idx="108">
                  <c:v>121791.05</c:v>
                </c:pt>
                <c:pt idx="109">
                  <c:v>266481.64</c:v>
                </c:pt>
                <c:pt idx="110">
                  <c:v>165569.18</c:v>
                </c:pt>
                <c:pt idx="111">
                  <c:v>544509.42000000004</c:v>
                </c:pt>
                <c:pt idx="112">
                  <c:v>277904.09000000003</c:v>
                </c:pt>
                <c:pt idx="113">
                  <c:v>972585.47</c:v>
                </c:pt>
                <c:pt idx="114">
                  <c:v>625825.69999999995</c:v>
                </c:pt>
                <c:pt idx="115">
                  <c:v>603688.07000000007</c:v>
                </c:pt>
                <c:pt idx="116">
                  <c:v>225409.88</c:v>
                </c:pt>
                <c:pt idx="117">
                  <c:v>137016.05000000002</c:v>
                </c:pt>
                <c:pt idx="118">
                  <c:v>516793.88</c:v>
                </c:pt>
                <c:pt idx="119">
                  <c:v>681348.66999999993</c:v>
                </c:pt>
                <c:pt idx="120">
                  <c:v>217182.66</c:v>
                </c:pt>
                <c:pt idx="121">
                  <c:v>608410.46</c:v>
                </c:pt>
                <c:pt idx="122">
                  <c:v>616989.48</c:v>
                </c:pt>
                <c:pt idx="123">
                  <c:v>117566.37</c:v>
                </c:pt>
                <c:pt idx="124">
                  <c:v>40250.629999999997</c:v>
                </c:pt>
                <c:pt idx="125">
                  <c:v>638646.07999999996</c:v>
                </c:pt>
                <c:pt idx="126">
                  <c:v>711122.52</c:v>
                </c:pt>
                <c:pt idx="127">
                  <c:v>139833.82</c:v>
                </c:pt>
                <c:pt idx="128">
                  <c:v>772373.07</c:v>
                </c:pt>
                <c:pt idx="129">
                  <c:v>106274.97</c:v>
                </c:pt>
                <c:pt idx="130">
                  <c:v>59786.310000000005</c:v>
                </c:pt>
                <c:pt idx="131">
                  <c:v>402956.64</c:v>
                </c:pt>
                <c:pt idx="132">
                  <c:v>188291.24</c:v>
                </c:pt>
                <c:pt idx="133">
                  <c:v>171199.65999999997</c:v>
                </c:pt>
                <c:pt idx="134">
                  <c:v>414789.57</c:v>
                </c:pt>
                <c:pt idx="135">
                  <c:v>1229.02</c:v>
                </c:pt>
                <c:pt idx="136">
                  <c:v>241646.03999999998</c:v>
                </c:pt>
                <c:pt idx="137">
                  <c:v>116346.33</c:v>
                </c:pt>
                <c:pt idx="138">
                  <c:v>669143.97</c:v>
                </c:pt>
                <c:pt idx="139">
                  <c:v>202982.75</c:v>
                </c:pt>
                <c:pt idx="140">
                  <c:v>222617.52000000002</c:v>
                </c:pt>
                <c:pt idx="141">
                  <c:v>762761.55</c:v>
                </c:pt>
                <c:pt idx="142">
                  <c:v>1251517.9600000002</c:v>
                </c:pt>
                <c:pt idx="143">
                  <c:v>324316.63</c:v>
                </c:pt>
                <c:pt idx="144">
                  <c:v>154570.56</c:v>
                </c:pt>
                <c:pt idx="145">
                  <c:v>1308365.6099999999</c:v>
                </c:pt>
                <c:pt idx="146">
                  <c:v>617268.59</c:v>
                </c:pt>
                <c:pt idx="147">
                  <c:v>777662.65</c:v>
                </c:pt>
                <c:pt idx="148">
                  <c:v>127543.5</c:v>
                </c:pt>
                <c:pt idx="149">
                  <c:v>551755.06000000006</c:v>
                </c:pt>
                <c:pt idx="150">
                  <c:v>591719.15</c:v>
                </c:pt>
                <c:pt idx="151">
                  <c:v>82162.03</c:v>
                </c:pt>
                <c:pt idx="152">
                  <c:v>85037.6</c:v>
                </c:pt>
                <c:pt idx="153">
                  <c:v>726170.09000000008</c:v>
                </c:pt>
                <c:pt idx="154">
                  <c:v>48695.59</c:v>
                </c:pt>
                <c:pt idx="155">
                  <c:v>400840.02</c:v>
                </c:pt>
                <c:pt idx="156">
                  <c:v>395746</c:v>
                </c:pt>
                <c:pt idx="157">
                  <c:v>258201.16</c:v>
                </c:pt>
                <c:pt idx="158">
                  <c:v>805528.83000000007</c:v>
                </c:pt>
                <c:pt idx="159">
                  <c:v>587281.31000000006</c:v>
                </c:pt>
                <c:pt idx="160">
                  <c:v>466038.69999999995</c:v>
                </c:pt>
                <c:pt idx="161">
                  <c:v>331928.42000000004</c:v>
                </c:pt>
                <c:pt idx="162">
                  <c:v>549789.11</c:v>
                </c:pt>
                <c:pt idx="163">
                  <c:v>100174.51999999999</c:v>
                </c:pt>
                <c:pt idx="164">
                  <c:v>162554.32</c:v>
                </c:pt>
                <c:pt idx="165">
                  <c:v>169281.32</c:v>
                </c:pt>
                <c:pt idx="166">
                  <c:v>849822.09</c:v>
                </c:pt>
                <c:pt idx="167">
                  <c:v>354144.58999999997</c:v>
                </c:pt>
                <c:pt idx="168">
                  <c:v>338531.22</c:v>
                </c:pt>
                <c:pt idx="169">
                  <c:v>714092.55999999994</c:v>
                </c:pt>
                <c:pt idx="170">
                  <c:v>411098.3</c:v>
                </c:pt>
                <c:pt idx="171">
                  <c:v>442459.06999999995</c:v>
                </c:pt>
                <c:pt idx="172">
                  <c:v>1081809.3599999999</c:v>
                </c:pt>
                <c:pt idx="173">
                  <c:v>349750.25</c:v>
                </c:pt>
                <c:pt idx="174">
                  <c:v>473364.16</c:v>
                </c:pt>
                <c:pt idx="175">
                  <c:v>215754.42</c:v>
                </c:pt>
                <c:pt idx="176">
                  <c:v>686361.27999999991</c:v>
                </c:pt>
                <c:pt idx="177">
                  <c:v>62003.61</c:v>
                </c:pt>
                <c:pt idx="178">
                  <c:v>780035.64000000013</c:v>
                </c:pt>
                <c:pt idx="179">
                  <c:v>87386.72</c:v>
                </c:pt>
                <c:pt idx="180">
                  <c:v>143666.44</c:v>
                </c:pt>
                <c:pt idx="181">
                  <c:v>332643.90000000002</c:v>
                </c:pt>
                <c:pt idx="182">
                  <c:v>534254.91999999993</c:v>
                </c:pt>
                <c:pt idx="183">
                  <c:v>511167.64999999997</c:v>
                </c:pt>
                <c:pt idx="184">
                  <c:v>707263.84000000008</c:v>
                </c:pt>
                <c:pt idx="185">
                  <c:v>565694.16</c:v>
                </c:pt>
                <c:pt idx="186">
                  <c:v>167795.58</c:v>
                </c:pt>
                <c:pt idx="187">
                  <c:v>333300.72000000003</c:v>
                </c:pt>
                <c:pt idx="188">
                  <c:v>89054.9</c:v>
                </c:pt>
                <c:pt idx="189">
                  <c:v>455182.97</c:v>
                </c:pt>
                <c:pt idx="190">
                  <c:v>856468.36</c:v>
                </c:pt>
                <c:pt idx="191">
                  <c:v>312531.66000000003</c:v>
                </c:pt>
                <c:pt idx="192">
                  <c:v>283079.69</c:v>
                </c:pt>
                <c:pt idx="193">
                  <c:v>457330.83</c:v>
                </c:pt>
                <c:pt idx="194">
                  <c:v>329849.45999999996</c:v>
                </c:pt>
                <c:pt idx="195">
                  <c:v>3727.43</c:v>
                </c:pt>
                <c:pt idx="196">
                  <c:v>1132054.5399999998</c:v>
                </c:pt>
                <c:pt idx="197">
                  <c:v>524698.53999999992</c:v>
                </c:pt>
                <c:pt idx="198">
                  <c:v>430527.84</c:v>
                </c:pt>
                <c:pt idx="199">
                  <c:v>118742.95999999999</c:v>
                </c:pt>
                <c:pt idx="200">
                  <c:v>105732.81</c:v>
                </c:pt>
                <c:pt idx="201">
                  <c:v>120601.31</c:v>
                </c:pt>
                <c:pt idx="202">
                  <c:v>361914.47</c:v>
                </c:pt>
                <c:pt idx="203">
                  <c:v>396508.07999999996</c:v>
                </c:pt>
                <c:pt idx="204">
                  <c:v>742804.24</c:v>
                </c:pt>
                <c:pt idx="205">
                  <c:v>271389.68</c:v>
                </c:pt>
                <c:pt idx="206">
                  <c:v>126051.16</c:v>
                </c:pt>
                <c:pt idx="207">
                  <c:v>182906.4</c:v>
                </c:pt>
                <c:pt idx="208">
                  <c:v>13705.83</c:v>
                </c:pt>
                <c:pt idx="209">
                  <c:v>97209.96</c:v>
                </c:pt>
                <c:pt idx="210">
                  <c:v>313519.95</c:v>
                </c:pt>
                <c:pt idx="211">
                  <c:v>17548.5</c:v>
                </c:pt>
                <c:pt idx="212">
                  <c:v>867100.5199999999</c:v>
                </c:pt>
                <c:pt idx="213">
                  <c:v>568341.48</c:v>
                </c:pt>
                <c:pt idx="214">
                  <c:v>1138958.6299999999</c:v>
                </c:pt>
                <c:pt idx="215">
                  <c:v>275391.42</c:v>
                </c:pt>
                <c:pt idx="216">
                  <c:v>203819.75</c:v>
                </c:pt>
                <c:pt idx="217">
                  <c:v>64336.72</c:v>
                </c:pt>
                <c:pt idx="218">
                  <c:v>241065.81</c:v>
                </c:pt>
                <c:pt idx="219">
                  <c:v>612161.94999999995</c:v>
                </c:pt>
                <c:pt idx="220">
                  <c:v>187801.78</c:v>
                </c:pt>
                <c:pt idx="221">
                  <c:v>111355.98</c:v>
                </c:pt>
                <c:pt idx="222">
                  <c:v>342076.57</c:v>
                </c:pt>
                <c:pt idx="223">
                  <c:v>328096.23</c:v>
                </c:pt>
                <c:pt idx="224">
                  <c:v>879059.16999999993</c:v>
                </c:pt>
                <c:pt idx="225">
                  <c:v>464137.49</c:v>
                </c:pt>
                <c:pt idx="226">
                  <c:v>272282.31</c:v>
                </c:pt>
                <c:pt idx="227">
                  <c:v>375130.45999999996</c:v>
                </c:pt>
                <c:pt idx="228">
                  <c:v>274999.34999999998</c:v>
                </c:pt>
                <c:pt idx="229">
                  <c:v>837973.40999999992</c:v>
                </c:pt>
                <c:pt idx="230">
                  <c:v>43373.54</c:v>
                </c:pt>
                <c:pt idx="231">
                  <c:v>250397.41999999998</c:v>
                </c:pt>
                <c:pt idx="232">
                  <c:v>99311.77</c:v>
                </c:pt>
                <c:pt idx="233">
                  <c:v>590579.95000000007</c:v>
                </c:pt>
                <c:pt idx="234">
                  <c:v>272158.09999999998</c:v>
                </c:pt>
                <c:pt idx="235">
                  <c:v>27183.98</c:v>
                </c:pt>
                <c:pt idx="236">
                  <c:v>48215.86</c:v>
                </c:pt>
                <c:pt idx="237">
                  <c:v>1031405.48</c:v>
                </c:pt>
                <c:pt idx="238">
                  <c:v>588289.68000000005</c:v>
                </c:pt>
                <c:pt idx="239">
                  <c:v>17299.04</c:v>
                </c:pt>
                <c:pt idx="240">
                  <c:v>185307.11000000002</c:v>
                </c:pt>
                <c:pt idx="241">
                  <c:v>267318.91000000003</c:v>
                </c:pt>
                <c:pt idx="242">
                  <c:v>121529.76</c:v>
                </c:pt>
                <c:pt idx="243">
                  <c:v>115263.96</c:v>
                </c:pt>
                <c:pt idx="244">
                  <c:v>97826.15</c:v>
                </c:pt>
                <c:pt idx="245">
                  <c:v>6050.27</c:v>
                </c:pt>
                <c:pt idx="246">
                  <c:v>331505.24</c:v>
                </c:pt>
                <c:pt idx="247">
                  <c:v>158916.6</c:v>
                </c:pt>
                <c:pt idx="248">
                  <c:v>343057.3</c:v>
                </c:pt>
                <c:pt idx="249">
                  <c:v>392777.39</c:v>
                </c:pt>
                <c:pt idx="250">
                  <c:v>307017.81</c:v>
                </c:pt>
                <c:pt idx="251">
                  <c:v>275135.32999999996</c:v>
                </c:pt>
                <c:pt idx="252">
                  <c:v>284596.46000000002</c:v>
                </c:pt>
                <c:pt idx="253">
                  <c:v>280670.53000000003</c:v>
                </c:pt>
                <c:pt idx="254">
                  <c:v>617228.90999999992</c:v>
                </c:pt>
                <c:pt idx="255">
                  <c:v>457195.85000000003</c:v>
                </c:pt>
                <c:pt idx="256">
                  <c:v>167403.22999999998</c:v>
                </c:pt>
                <c:pt idx="257">
                  <c:v>121853.1</c:v>
                </c:pt>
                <c:pt idx="258">
                  <c:v>313708.77999999997</c:v>
                </c:pt>
                <c:pt idx="259">
                  <c:v>1495.14</c:v>
                </c:pt>
                <c:pt idx="260">
                  <c:v>327185.07</c:v>
                </c:pt>
                <c:pt idx="261">
                  <c:v>380355.26</c:v>
                </c:pt>
                <c:pt idx="262">
                  <c:v>426928</c:v>
                </c:pt>
                <c:pt idx="263">
                  <c:v>530870.75</c:v>
                </c:pt>
                <c:pt idx="264">
                  <c:v>1358272.46</c:v>
                </c:pt>
                <c:pt idx="265">
                  <c:v>310619.75</c:v>
                </c:pt>
                <c:pt idx="266">
                  <c:v>388557.42</c:v>
                </c:pt>
                <c:pt idx="267">
                  <c:v>171708.14</c:v>
                </c:pt>
                <c:pt idx="268">
                  <c:v>93055.86</c:v>
                </c:pt>
                <c:pt idx="269">
                  <c:v>49403.839999999997</c:v>
                </c:pt>
                <c:pt idx="270">
                  <c:v>273383.06</c:v>
                </c:pt>
                <c:pt idx="271">
                  <c:v>608133.06999999995</c:v>
                </c:pt>
                <c:pt idx="272">
                  <c:v>665309.27999999991</c:v>
                </c:pt>
                <c:pt idx="273">
                  <c:v>637941.75</c:v>
                </c:pt>
                <c:pt idx="274">
                  <c:v>833404.28</c:v>
                </c:pt>
                <c:pt idx="275">
                  <c:v>334929.09999999998</c:v>
                </c:pt>
                <c:pt idx="276">
                  <c:v>693585.16</c:v>
                </c:pt>
                <c:pt idx="277">
                  <c:v>601138.86</c:v>
                </c:pt>
                <c:pt idx="278">
                  <c:v>681953.05</c:v>
                </c:pt>
                <c:pt idx="279">
                  <c:v>614915.01</c:v>
                </c:pt>
                <c:pt idx="280">
                  <c:v>689978.58000000007</c:v>
                </c:pt>
                <c:pt idx="281">
                  <c:v>253269.24000000002</c:v>
                </c:pt>
                <c:pt idx="282">
                  <c:v>34742.76</c:v>
                </c:pt>
                <c:pt idx="283">
                  <c:v>453859.70999999996</c:v>
                </c:pt>
                <c:pt idx="284">
                  <c:v>585178.32000000007</c:v>
                </c:pt>
                <c:pt idx="285">
                  <c:v>552792.46</c:v>
                </c:pt>
                <c:pt idx="286">
                  <c:v>1099718.31</c:v>
                </c:pt>
                <c:pt idx="287">
                  <c:v>361804.33</c:v>
                </c:pt>
                <c:pt idx="288">
                  <c:v>176781.2</c:v>
                </c:pt>
                <c:pt idx="289">
                  <c:v>122431.8</c:v>
                </c:pt>
                <c:pt idx="290">
                  <c:v>107745.36</c:v>
                </c:pt>
                <c:pt idx="291">
                  <c:v>578342.88</c:v>
                </c:pt>
                <c:pt idx="292">
                  <c:v>359959.29000000004</c:v>
                </c:pt>
                <c:pt idx="293">
                  <c:v>232580.11000000002</c:v>
                </c:pt>
                <c:pt idx="294">
                  <c:v>278427.28000000003</c:v>
                </c:pt>
                <c:pt idx="295">
                  <c:v>365739.9</c:v>
                </c:pt>
                <c:pt idx="296">
                  <c:v>240883.83</c:v>
                </c:pt>
                <c:pt idx="297">
                  <c:v>276698.28000000003</c:v>
                </c:pt>
                <c:pt idx="298">
                  <c:v>1200241.17</c:v>
                </c:pt>
                <c:pt idx="299">
                  <c:v>360108.6</c:v>
                </c:pt>
                <c:pt idx="300">
                  <c:v>273132.90000000002</c:v>
                </c:pt>
                <c:pt idx="301">
                  <c:v>499943.76999999996</c:v>
                </c:pt>
                <c:pt idx="302">
                  <c:v>384118.26999999996</c:v>
                </c:pt>
                <c:pt idx="303">
                  <c:v>349767.9</c:v>
                </c:pt>
                <c:pt idx="304">
                  <c:v>237573.1</c:v>
                </c:pt>
                <c:pt idx="305">
                  <c:v>485538.24</c:v>
                </c:pt>
                <c:pt idx="306">
                  <c:v>546961.67000000004</c:v>
                </c:pt>
                <c:pt idx="307">
                  <c:v>444016.4</c:v>
                </c:pt>
                <c:pt idx="308">
                  <c:v>467239.58999999997</c:v>
                </c:pt>
                <c:pt idx="309">
                  <c:v>608044.97</c:v>
                </c:pt>
                <c:pt idx="310">
                  <c:v>435849.98</c:v>
                </c:pt>
                <c:pt idx="311">
                  <c:v>256872.24</c:v>
                </c:pt>
                <c:pt idx="312">
                  <c:v>200981.7</c:v>
                </c:pt>
                <c:pt idx="313">
                  <c:v>955404.98</c:v>
                </c:pt>
                <c:pt idx="314">
                  <c:v>144840.29</c:v>
                </c:pt>
                <c:pt idx="315">
                  <c:v>542450.07999999996</c:v>
                </c:pt>
                <c:pt idx="316">
                  <c:v>485948.19</c:v>
                </c:pt>
                <c:pt idx="317">
                  <c:v>313418.15000000002</c:v>
                </c:pt>
                <c:pt idx="318">
                  <c:v>981351.10000000009</c:v>
                </c:pt>
                <c:pt idx="319">
                  <c:v>178731.57</c:v>
                </c:pt>
                <c:pt idx="320">
                  <c:v>339751.37</c:v>
                </c:pt>
                <c:pt idx="321">
                  <c:v>855766.06</c:v>
                </c:pt>
                <c:pt idx="322">
                  <c:v>310658.52</c:v>
                </c:pt>
                <c:pt idx="323">
                  <c:v>330592.38</c:v>
                </c:pt>
                <c:pt idx="324">
                  <c:v>992394.38</c:v>
                </c:pt>
                <c:pt idx="325">
                  <c:v>366762.14999999997</c:v>
                </c:pt>
                <c:pt idx="326">
                  <c:v>336551.43999999994</c:v>
                </c:pt>
                <c:pt idx="327">
                  <c:v>167292.37</c:v>
                </c:pt>
                <c:pt idx="328">
                  <c:v>431527.97000000003</c:v>
                </c:pt>
                <c:pt idx="329">
                  <c:v>219823.88999999998</c:v>
                </c:pt>
                <c:pt idx="330">
                  <c:v>148956.46000000002</c:v>
                </c:pt>
                <c:pt idx="331">
                  <c:v>336839.4</c:v>
                </c:pt>
                <c:pt idx="332">
                  <c:v>573354.91</c:v>
                </c:pt>
                <c:pt idx="333">
                  <c:v>8872.0300000000007</c:v>
                </c:pt>
                <c:pt idx="334">
                  <c:v>720339.08000000007</c:v>
                </c:pt>
                <c:pt idx="335">
                  <c:v>182445.41999999998</c:v>
                </c:pt>
                <c:pt idx="336">
                  <c:v>368373.65</c:v>
                </c:pt>
                <c:pt idx="337">
                  <c:v>256767.72</c:v>
                </c:pt>
                <c:pt idx="338">
                  <c:v>270452.40000000002</c:v>
                </c:pt>
                <c:pt idx="339">
                  <c:v>62518.32</c:v>
                </c:pt>
                <c:pt idx="340">
                  <c:v>524016.24</c:v>
                </c:pt>
                <c:pt idx="341">
                  <c:v>809389.99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9-40A8-A68A-AA67BDE9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740896"/>
        <c:axId val="581210960"/>
      </c:barChart>
      <c:catAx>
        <c:axId val="7147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10960"/>
        <c:crosses val="autoZero"/>
        <c:auto val="1"/>
        <c:lblAlgn val="ctr"/>
        <c:lblOffset val="100"/>
        <c:noMultiLvlLbl val="0"/>
      </c:catAx>
      <c:valAx>
        <c:axId val="5812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Education </c:v>
              </c:pt>
              <c:pt idx="1">
                <c:v>Electronics</c:v>
              </c:pt>
              <c:pt idx="2">
                <c:v>Fashion</c:v>
              </c:pt>
              <c:pt idx="3">
                <c:v>Furniture</c:v>
              </c:pt>
              <c:pt idx="4">
                <c:v>Grocery</c:v>
              </c:pt>
            </c:strLit>
          </c:cat>
          <c:val>
            <c:numLit>
              <c:formatCode>General</c:formatCode>
              <c:ptCount val="5"/>
              <c:pt idx="0">
                <c:v>178</c:v>
              </c:pt>
              <c:pt idx="1">
                <c:v>354</c:v>
              </c:pt>
              <c:pt idx="2">
                <c:v>156</c:v>
              </c:pt>
              <c:pt idx="3">
                <c:v>159</c:v>
              </c:pt>
              <c:pt idx="4">
                <c:v>153</c:v>
              </c:pt>
            </c:numLit>
          </c:val>
          <c:extLst>
            <c:ext xmlns:c16="http://schemas.microsoft.com/office/drawing/2014/chart" uri="{C3380CC4-5D6E-409C-BE32-E72D297353CC}">
              <c16:uniqueId val="{00000000-65A0-4FB2-8354-C20CBB486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88831"/>
        <c:axId val="306610863"/>
      </c:barChart>
      <c:catAx>
        <c:axId val="38108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0863"/>
        <c:crosses val="autoZero"/>
        <c:auto val="1"/>
        <c:lblAlgn val="ctr"/>
        <c:lblOffset val="100"/>
        <c:noMultiLvlLbl val="0"/>
      </c:catAx>
      <c:valAx>
        <c:axId val="30661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8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Bengaluru</c:v>
              </c:pt>
              <c:pt idx="1">
                <c:v>Delhi</c:v>
              </c:pt>
              <c:pt idx="2">
                <c:v>Gaya</c:v>
              </c:pt>
              <c:pt idx="3">
                <c:v>Hyderbad</c:v>
              </c:pt>
              <c:pt idx="4">
                <c:v>Kolkata</c:v>
              </c:pt>
              <c:pt idx="5">
                <c:v>Mumbai</c:v>
              </c:pt>
              <c:pt idx="6">
                <c:v>Patna</c:v>
              </c:pt>
              <c:pt idx="7">
                <c:v>Pune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122</c:v>
              </c:pt>
              <c:pt idx="1">
                <c:v>125</c:v>
              </c:pt>
              <c:pt idx="2">
                <c:v>117</c:v>
              </c:pt>
              <c:pt idx="3">
                <c:v>125</c:v>
              </c:pt>
              <c:pt idx="4">
                <c:v>133</c:v>
              </c:pt>
              <c:pt idx="5">
                <c:v>131</c:v>
              </c:pt>
              <c:pt idx="6">
                <c:v>135</c:v>
              </c:pt>
              <c:pt idx="7">
                <c:v>99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4F-4094-85BF-56D854569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83823"/>
        <c:axId val="306583503"/>
      </c:barChart>
      <c:catAx>
        <c:axId val="4943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83503"/>
        <c:crosses val="autoZero"/>
        <c:auto val="1"/>
        <c:lblAlgn val="ctr"/>
        <c:lblOffset val="100"/>
        <c:noMultiLvlLbl val="0"/>
      </c:catAx>
      <c:valAx>
        <c:axId val="3065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8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Book</c:v>
              </c:pt>
              <c:pt idx="1">
                <c:v>Chair</c:v>
              </c:pt>
              <c:pt idx="2">
                <c:v>Laptop</c:v>
              </c:pt>
              <c:pt idx="3">
                <c:v>Mobile</c:v>
              </c:pt>
              <c:pt idx="4">
                <c:v>Rice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178</c:v>
              </c:pt>
              <c:pt idx="1">
                <c:v>159</c:v>
              </c:pt>
              <c:pt idx="2">
                <c:v>170</c:v>
              </c:pt>
              <c:pt idx="3">
                <c:v>184</c:v>
              </c:pt>
              <c:pt idx="4">
                <c:v>153</c:v>
              </c:pt>
              <c:pt idx="5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0-0ED7-4200-9220-26E490B10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79647"/>
        <c:axId val="306490383"/>
      </c:barChart>
      <c:catAx>
        <c:axId val="49437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90383"/>
        <c:crosses val="autoZero"/>
        <c:auto val="1"/>
        <c:lblAlgn val="ctr"/>
        <c:lblOffset val="100"/>
        <c:noMultiLvlLbl val="0"/>
      </c:catAx>
      <c:valAx>
        <c:axId val="30649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7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[Internship_Dataset_Working.xlsx.xlsx]Sheet1!PivotTable1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Revenue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Sheet1!$A$4:$A$346</c:f>
              <c:strCache>
                <c:ptCount val="342"/>
                <c:pt idx="0">
                  <c:v>2025-01-01</c:v>
                </c:pt>
                <c:pt idx="1">
                  <c:v>2025-01-04</c:v>
                </c:pt>
                <c:pt idx="2">
                  <c:v>2025-01-05</c:v>
                </c:pt>
                <c:pt idx="3">
                  <c:v>2025-01-06</c:v>
                </c:pt>
                <c:pt idx="4">
                  <c:v>2025-01-07</c:v>
                </c:pt>
                <c:pt idx="5">
                  <c:v>2025-01-08</c:v>
                </c:pt>
                <c:pt idx="6">
                  <c:v>2025-01-09</c:v>
                </c:pt>
                <c:pt idx="7">
                  <c:v>2025-01-10</c:v>
                </c:pt>
                <c:pt idx="8">
                  <c:v>2025-01-11</c:v>
                </c:pt>
                <c:pt idx="9">
                  <c:v>2025-01-13</c:v>
                </c:pt>
                <c:pt idx="10">
                  <c:v>2025-01-14</c:v>
                </c:pt>
                <c:pt idx="11">
                  <c:v>2025-01-15</c:v>
                </c:pt>
                <c:pt idx="12">
                  <c:v>2025-01-16</c:v>
                </c:pt>
                <c:pt idx="13">
                  <c:v>2025-01-17</c:v>
                </c:pt>
                <c:pt idx="14">
                  <c:v>2025-01-18</c:v>
                </c:pt>
                <c:pt idx="15">
                  <c:v>2025-01-19</c:v>
                </c:pt>
                <c:pt idx="16">
                  <c:v>2025-01-20</c:v>
                </c:pt>
                <c:pt idx="17">
                  <c:v>2025-01-21</c:v>
                </c:pt>
                <c:pt idx="18">
                  <c:v>2025-01-22</c:v>
                </c:pt>
                <c:pt idx="19">
                  <c:v>2025-01-23</c:v>
                </c:pt>
                <c:pt idx="20">
                  <c:v>2025-01-24</c:v>
                </c:pt>
                <c:pt idx="21">
                  <c:v>2025-01-25</c:v>
                </c:pt>
                <c:pt idx="22">
                  <c:v>2025-01-26</c:v>
                </c:pt>
                <c:pt idx="23">
                  <c:v>2025-01-27</c:v>
                </c:pt>
                <c:pt idx="24">
                  <c:v>2025-01-28</c:v>
                </c:pt>
                <c:pt idx="25">
                  <c:v>2025-01-29</c:v>
                </c:pt>
                <c:pt idx="26">
                  <c:v>2025-01-30</c:v>
                </c:pt>
                <c:pt idx="27">
                  <c:v>2025-01-31</c:v>
                </c:pt>
                <c:pt idx="28">
                  <c:v>2025-02-02</c:v>
                </c:pt>
                <c:pt idx="29">
                  <c:v>2025-02-03</c:v>
                </c:pt>
                <c:pt idx="30">
                  <c:v>2025-02-04</c:v>
                </c:pt>
                <c:pt idx="31">
                  <c:v>2025-02-05</c:v>
                </c:pt>
                <c:pt idx="32">
                  <c:v>2025-02-07</c:v>
                </c:pt>
                <c:pt idx="33">
                  <c:v>2025-02-08</c:v>
                </c:pt>
                <c:pt idx="34">
                  <c:v>2025-02-09</c:v>
                </c:pt>
                <c:pt idx="35">
                  <c:v>2025-02-10</c:v>
                </c:pt>
                <c:pt idx="36">
                  <c:v>2025-02-11</c:v>
                </c:pt>
                <c:pt idx="37">
                  <c:v>2025-02-12</c:v>
                </c:pt>
                <c:pt idx="38">
                  <c:v>2025-02-13</c:v>
                </c:pt>
                <c:pt idx="39">
                  <c:v>2025-02-14</c:v>
                </c:pt>
                <c:pt idx="40">
                  <c:v>2025-02-15</c:v>
                </c:pt>
                <c:pt idx="41">
                  <c:v>2025-02-16</c:v>
                </c:pt>
                <c:pt idx="42">
                  <c:v>2025-02-17</c:v>
                </c:pt>
                <c:pt idx="43">
                  <c:v>2025-02-19</c:v>
                </c:pt>
                <c:pt idx="44">
                  <c:v>2025-02-20</c:v>
                </c:pt>
                <c:pt idx="45">
                  <c:v>2025-02-21</c:v>
                </c:pt>
                <c:pt idx="46">
                  <c:v>2025-02-22</c:v>
                </c:pt>
                <c:pt idx="47">
                  <c:v>2025-02-23</c:v>
                </c:pt>
                <c:pt idx="48">
                  <c:v>2025-02-24</c:v>
                </c:pt>
                <c:pt idx="49">
                  <c:v>2025-02-25</c:v>
                </c:pt>
                <c:pt idx="50">
                  <c:v>2025-02-26</c:v>
                </c:pt>
                <c:pt idx="51">
                  <c:v>2025-02-27</c:v>
                </c:pt>
                <c:pt idx="52">
                  <c:v>2025-02-28</c:v>
                </c:pt>
                <c:pt idx="53">
                  <c:v>2025-03-01</c:v>
                </c:pt>
                <c:pt idx="54">
                  <c:v>2025-03-02</c:v>
                </c:pt>
                <c:pt idx="55">
                  <c:v>2025-03-03</c:v>
                </c:pt>
                <c:pt idx="56">
                  <c:v>2025-03-04</c:v>
                </c:pt>
                <c:pt idx="57">
                  <c:v>2025-03-05</c:v>
                </c:pt>
                <c:pt idx="58">
                  <c:v>2025-03-07</c:v>
                </c:pt>
                <c:pt idx="59">
                  <c:v>2025-03-08</c:v>
                </c:pt>
                <c:pt idx="60">
                  <c:v>2025-03-09</c:v>
                </c:pt>
                <c:pt idx="61">
                  <c:v>2025-03-10</c:v>
                </c:pt>
                <c:pt idx="62">
                  <c:v>2025-03-11</c:v>
                </c:pt>
                <c:pt idx="63">
                  <c:v>2025-03-12</c:v>
                </c:pt>
                <c:pt idx="64">
                  <c:v>2025-03-13</c:v>
                </c:pt>
                <c:pt idx="65">
                  <c:v>2025-03-16</c:v>
                </c:pt>
                <c:pt idx="66">
                  <c:v>2025-03-17</c:v>
                </c:pt>
                <c:pt idx="67">
                  <c:v>2025-03-18</c:v>
                </c:pt>
                <c:pt idx="68">
                  <c:v>2025-03-19</c:v>
                </c:pt>
                <c:pt idx="69">
                  <c:v>2025-03-20</c:v>
                </c:pt>
                <c:pt idx="70">
                  <c:v>2025-03-21</c:v>
                </c:pt>
                <c:pt idx="71">
                  <c:v>2025-03-22</c:v>
                </c:pt>
                <c:pt idx="72">
                  <c:v>2025-03-23</c:v>
                </c:pt>
                <c:pt idx="73">
                  <c:v>2025-03-25</c:v>
                </c:pt>
                <c:pt idx="74">
                  <c:v>2025-03-26</c:v>
                </c:pt>
                <c:pt idx="75">
                  <c:v>2025-03-27</c:v>
                </c:pt>
                <c:pt idx="76">
                  <c:v>2025-03-28</c:v>
                </c:pt>
                <c:pt idx="77">
                  <c:v>2025-03-29</c:v>
                </c:pt>
                <c:pt idx="78">
                  <c:v>2025-03-30</c:v>
                </c:pt>
                <c:pt idx="79">
                  <c:v>2025-03-31</c:v>
                </c:pt>
                <c:pt idx="80">
                  <c:v>2025-04-01</c:v>
                </c:pt>
                <c:pt idx="81">
                  <c:v>2025-04-02</c:v>
                </c:pt>
                <c:pt idx="82">
                  <c:v>2025-04-03</c:v>
                </c:pt>
                <c:pt idx="83">
                  <c:v>2025-04-04</c:v>
                </c:pt>
                <c:pt idx="84">
                  <c:v>2025-04-05</c:v>
                </c:pt>
                <c:pt idx="85">
                  <c:v>2025-04-06</c:v>
                </c:pt>
                <c:pt idx="86">
                  <c:v>2025-04-07</c:v>
                </c:pt>
                <c:pt idx="87">
                  <c:v>2025-04-08</c:v>
                </c:pt>
                <c:pt idx="88">
                  <c:v>2025-04-09</c:v>
                </c:pt>
                <c:pt idx="89">
                  <c:v>2025-04-10</c:v>
                </c:pt>
                <c:pt idx="90">
                  <c:v>2025-04-11</c:v>
                </c:pt>
                <c:pt idx="91">
                  <c:v>2025-04-12</c:v>
                </c:pt>
                <c:pt idx="92">
                  <c:v>2025-04-13</c:v>
                </c:pt>
                <c:pt idx="93">
                  <c:v>2025-04-14</c:v>
                </c:pt>
                <c:pt idx="94">
                  <c:v>2025-04-15</c:v>
                </c:pt>
                <c:pt idx="95">
                  <c:v>2025-04-16</c:v>
                </c:pt>
                <c:pt idx="96">
                  <c:v>2025-04-17</c:v>
                </c:pt>
                <c:pt idx="97">
                  <c:v>2025-04-18</c:v>
                </c:pt>
                <c:pt idx="98">
                  <c:v>2025-04-19</c:v>
                </c:pt>
                <c:pt idx="99">
                  <c:v>2025-04-20</c:v>
                </c:pt>
                <c:pt idx="100">
                  <c:v>2025-04-21</c:v>
                </c:pt>
                <c:pt idx="101">
                  <c:v>2025-04-22</c:v>
                </c:pt>
                <c:pt idx="102">
                  <c:v>2025-04-23</c:v>
                </c:pt>
                <c:pt idx="103">
                  <c:v>2025-04-24</c:v>
                </c:pt>
                <c:pt idx="104">
                  <c:v>2025-04-25</c:v>
                </c:pt>
                <c:pt idx="105">
                  <c:v>2025-04-26</c:v>
                </c:pt>
                <c:pt idx="106">
                  <c:v>2025-04-27</c:v>
                </c:pt>
                <c:pt idx="107">
                  <c:v>2025-04-28</c:v>
                </c:pt>
                <c:pt idx="108">
                  <c:v>2025-04-29</c:v>
                </c:pt>
                <c:pt idx="109">
                  <c:v>2025-04-30</c:v>
                </c:pt>
                <c:pt idx="110">
                  <c:v>2025-05-01</c:v>
                </c:pt>
                <c:pt idx="111">
                  <c:v>2025-05-02</c:v>
                </c:pt>
                <c:pt idx="112">
                  <c:v>2025-05-03</c:v>
                </c:pt>
                <c:pt idx="113">
                  <c:v>2025-05-04</c:v>
                </c:pt>
                <c:pt idx="114">
                  <c:v>2025-05-05</c:v>
                </c:pt>
                <c:pt idx="115">
                  <c:v>2025-05-06</c:v>
                </c:pt>
                <c:pt idx="116">
                  <c:v>2025-05-07</c:v>
                </c:pt>
                <c:pt idx="117">
                  <c:v>2025-05-08</c:v>
                </c:pt>
                <c:pt idx="118">
                  <c:v>2025-05-09</c:v>
                </c:pt>
                <c:pt idx="119">
                  <c:v>2025-05-10</c:v>
                </c:pt>
                <c:pt idx="120">
                  <c:v>2025-05-11</c:v>
                </c:pt>
                <c:pt idx="121">
                  <c:v>2025-05-12</c:v>
                </c:pt>
                <c:pt idx="122">
                  <c:v>2025-05-13</c:v>
                </c:pt>
                <c:pt idx="123">
                  <c:v>2025-05-14</c:v>
                </c:pt>
                <c:pt idx="124">
                  <c:v>2025-05-15</c:v>
                </c:pt>
                <c:pt idx="125">
                  <c:v>2025-05-16</c:v>
                </c:pt>
                <c:pt idx="126">
                  <c:v>2025-05-17</c:v>
                </c:pt>
                <c:pt idx="127">
                  <c:v>2025-05-18</c:v>
                </c:pt>
                <c:pt idx="128">
                  <c:v>2025-05-19</c:v>
                </c:pt>
                <c:pt idx="129">
                  <c:v>2025-05-20</c:v>
                </c:pt>
                <c:pt idx="130">
                  <c:v>2025-05-21</c:v>
                </c:pt>
                <c:pt idx="131">
                  <c:v>2025-05-22</c:v>
                </c:pt>
                <c:pt idx="132">
                  <c:v>2025-05-24</c:v>
                </c:pt>
                <c:pt idx="133">
                  <c:v>2025-05-26</c:v>
                </c:pt>
                <c:pt idx="134">
                  <c:v>2025-05-27</c:v>
                </c:pt>
                <c:pt idx="135">
                  <c:v>2025-05-28</c:v>
                </c:pt>
                <c:pt idx="136">
                  <c:v>2025-05-29</c:v>
                </c:pt>
                <c:pt idx="137">
                  <c:v>2025-05-30</c:v>
                </c:pt>
                <c:pt idx="138">
                  <c:v>2025-05-31</c:v>
                </c:pt>
                <c:pt idx="139">
                  <c:v>2025-06-01</c:v>
                </c:pt>
                <c:pt idx="140">
                  <c:v>2025-06-02</c:v>
                </c:pt>
                <c:pt idx="141">
                  <c:v>2025-06-03</c:v>
                </c:pt>
                <c:pt idx="142">
                  <c:v>2025-06-04</c:v>
                </c:pt>
                <c:pt idx="143">
                  <c:v>2025-06-05</c:v>
                </c:pt>
                <c:pt idx="144">
                  <c:v>2025-06-06</c:v>
                </c:pt>
                <c:pt idx="145">
                  <c:v>2025-06-07</c:v>
                </c:pt>
                <c:pt idx="146">
                  <c:v>2025-06-08</c:v>
                </c:pt>
                <c:pt idx="147">
                  <c:v>2025-06-10</c:v>
                </c:pt>
                <c:pt idx="148">
                  <c:v>2025-06-11</c:v>
                </c:pt>
                <c:pt idx="149">
                  <c:v>2025-06-12</c:v>
                </c:pt>
                <c:pt idx="150">
                  <c:v>2025-06-13</c:v>
                </c:pt>
                <c:pt idx="151">
                  <c:v>2025-06-14</c:v>
                </c:pt>
                <c:pt idx="152">
                  <c:v>2025-06-15</c:v>
                </c:pt>
                <c:pt idx="153">
                  <c:v>2025-06-16</c:v>
                </c:pt>
                <c:pt idx="154">
                  <c:v>2025-06-17</c:v>
                </c:pt>
                <c:pt idx="155">
                  <c:v>2025-06-18</c:v>
                </c:pt>
                <c:pt idx="156">
                  <c:v>2025-06-19</c:v>
                </c:pt>
                <c:pt idx="157">
                  <c:v>2025-06-20</c:v>
                </c:pt>
                <c:pt idx="158">
                  <c:v>2025-06-21</c:v>
                </c:pt>
                <c:pt idx="159">
                  <c:v>2025-06-22</c:v>
                </c:pt>
                <c:pt idx="160">
                  <c:v>2025-06-24</c:v>
                </c:pt>
                <c:pt idx="161">
                  <c:v>2025-06-25</c:v>
                </c:pt>
                <c:pt idx="162">
                  <c:v>2025-06-26</c:v>
                </c:pt>
                <c:pt idx="163">
                  <c:v>2025-06-27</c:v>
                </c:pt>
                <c:pt idx="164">
                  <c:v>2025-06-28</c:v>
                </c:pt>
                <c:pt idx="165">
                  <c:v>2025-06-29</c:v>
                </c:pt>
                <c:pt idx="166">
                  <c:v>2025-06-30</c:v>
                </c:pt>
                <c:pt idx="167">
                  <c:v>2025-07-01</c:v>
                </c:pt>
                <c:pt idx="168">
                  <c:v>2025-07-03</c:v>
                </c:pt>
                <c:pt idx="169">
                  <c:v>2025-07-04</c:v>
                </c:pt>
                <c:pt idx="170">
                  <c:v>2025-07-05</c:v>
                </c:pt>
                <c:pt idx="171">
                  <c:v>2025-07-06</c:v>
                </c:pt>
                <c:pt idx="172">
                  <c:v>2025-07-07</c:v>
                </c:pt>
                <c:pt idx="173">
                  <c:v>2025-07-08</c:v>
                </c:pt>
                <c:pt idx="174">
                  <c:v>2025-07-09</c:v>
                </c:pt>
                <c:pt idx="175">
                  <c:v>2025-07-10</c:v>
                </c:pt>
                <c:pt idx="176">
                  <c:v>2025-07-11</c:v>
                </c:pt>
                <c:pt idx="177">
                  <c:v>2025-07-12</c:v>
                </c:pt>
                <c:pt idx="178">
                  <c:v>2025-07-13</c:v>
                </c:pt>
                <c:pt idx="179">
                  <c:v>2025-07-14</c:v>
                </c:pt>
                <c:pt idx="180">
                  <c:v>2025-07-15</c:v>
                </c:pt>
                <c:pt idx="181">
                  <c:v>2025-07-16</c:v>
                </c:pt>
                <c:pt idx="182">
                  <c:v>2025-07-18</c:v>
                </c:pt>
                <c:pt idx="183">
                  <c:v>2025-07-20</c:v>
                </c:pt>
                <c:pt idx="184">
                  <c:v>2025-07-21</c:v>
                </c:pt>
                <c:pt idx="185">
                  <c:v>2025-07-22</c:v>
                </c:pt>
                <c:pt idx="186">
                  <c:v>2025-07-23</c:v>
                </c:pt>
                <c:pt idx="187">
                  <c:v>2025-07-24</c:v>
                </c:pt>
                <c:pt idx="188">
                  <c:v>2025-07-25</c:v>
                </c:pt>
                <c:pt idx="189">
                  <c:v>2025-07-27</c:v>
                </c:pt>
                <c:pt idx="190">
                  <c:v>2025-07-28</c:v>
                </c:pt>
                <c:pt idx="191">
                  <c:v>2025-07-29</c:v>
                </c:pt>
                <c:pt idx="192">
                  <c:v>2025-07-30</c:v>
                </c:pt>
                <c:pt idx="193">
                  <c:v>2025-07-31</c:v>
                </c:pt>
                <c:pt idx="194">
                  <c:v>2025-08-01</c:v>
                </c:pt>
                <c:pt idx="195">
                  <c:v>2025-08-02</c:v>
                </c:pt>
                <c:pt idx="196">
                  <c:v>2025-08-03</c:v>
                </c:pt>
                <c:pt idx="197">
                  <c:v>2025-08-04</c:v>
                </c:pt>
                <c:pt idx="198">
                  <c:v>2025-08-06</c:v>
                </c:pt>
                <c:pt idx="199">
                  <c:v>2025-08-08</c:v>
                </c:pt>
                <c:pt idx="200">
                  <c:v>2025-08-09</c:v>
                </c:pt>
                <c:pt idx="201">
                  <c:v>2025-08-10</c:v>
                </c:pt>
                <c:pt idx="202">
                  <c:v>2025-08-11</c:v>
                </c:pt>
                <c:pt idx="203">
                  <c:v>2025-08-12</c:v>
                </c:pt>
                <c:pt idx="204">
                  <c:v>2025-08-13</c:v>
                </c:pt>
                <c:pt idx="205">
                  <c:v>2025-08-15</c:v>
                </c:pt>
                <c:pt idx="206">
                  <c:v>2025-08-16</c:v>
                </c:pt>
                <c:pt idx="207">
                  <c:v>2025-08-17</c:v>
                </c:pt>
                <c:pt idx="208">
                  <c:v>2025-08-18</c:v>
                </c:pt>
                <c:pt idx="209">
                  <c:v>2025-08-19</c:v>
                </c:pt>
                <c:pt idx="210">
                  <c:v>2025-08-20</c:v>
                </c:pt>
                <c:pt idx="211">
                  <c:v>2025-08-21</c:v>
                </c:pt>
                <c:pt idx="212">
                  <c:v>2025-08-22</c:v>
                </c:pt>
                <c:pt idx="213">
                  <c:v>2025-08-24</c:v>
                </c:pt>
                <c:pt idx="214">
                  <c:v>2025-08-25</c:v>
                </c:pt>
                <c:pt idx="215">
                  <c:v>2025-08-26</c:v>
                </c:pt>
                <c:pt idx="216">
                  <c:v>2025-08-27</c:v>
                </c:pt>
                <c:pt idx="217">
                  <c:v>2025-08-28</c:v>
                </c:pt>
                <c:pt idx="218">
                  <c:v>2025-08-29</c:v>
                </c:pt>
                <c:pt idx="219">
                  <c:v>2025-08-30</c:v>
                </c:pt>
                <c:pt idx="220">
                  <c:v>2025-08-31</c:v>
                </c:pt>
                <c:pt idx="221">
                  <c:v>2025-09-01</c:v>
                </c:pt>
                <c:pt idx="222">
                  <c:v>2025-09-02</c:v>
                </c:pt>
                <c:pt idx="223">
                  <c:v>2025-09-03</c:v>
                </c:pt>
                <c:pt idx="224">
                  <c:v>2025-09-04</c:v>
                </c:pt>
                <c:pt idx="225">
                  <c:v>2025-09-05</c:v>
                </c:pt>
                <c:pt idx="226">
                  <c:v>2025-09-06</c:v>
                </c:pt>
                <c:pt idx="227">
                  <c:v>2025-09-07</c:v>
                </c:pt>
                <c:pt idx="228">
                  <c:v>2025-09-08</c:v>
                </c:pt>
                <c:pt idx="229">
                  <c:v>2025-09-09</c:v>
                </c:pt>
                <c:pt idx="230">
                  <c:v>2025-09-10</c:v>
                </c:pt>
                <c:pt idx="231">
                  <c:v>2025-09-11</c:v>
                </c:pt>
                <c:pt idx="232">
                  <c:v>2025-09-12</c:v>
                </c:pt>
                <c:pt idx="233">
                  <c:v>2025-09-13</c:v>
                </c:pt>
                <c:pt idx="234">
                  <c:v>2025-09-14</c:v>
                </c:pt>
                <c:pt idx="235">
                  <c:v>2025-09-15</c:v>
                </c:pt>
                <c:pt idx="236">
                  <c:v>2025-09-16</c:v>
                </c:pt>
                <c:pt idx="237">
                  <c:v>2025-09-17</c:v>
                </c:pt>
                <c:pt idx="238">
                  <c:v>2025-09-18</c:v>
                </c:pt>
                <c:pt idx="239">
                  <c:v>2025-09-19</c:v>
                </c:pt>
                <c:pt idx="240">
                  <c:v>2025-09-20</c:v>
                </c:pt>
                <c:pt idx="241">
                  <c:v>2025-09-21</c:v>
                </c:pt>
                <c:pt idx="242">
                  <c:v>2025-09-22</c:v>
                </c:pt>
                <c:pt idx="243">
                  <c:v>2025-09-23</c:v>
                </c:pt>
                <c:pt idx="244">
                  <c:v>2025-09-24</c:v>
                </c:pt>
                <c:pt idx="245">
                  <c:v>2025-09-25</c:v>
                </c:pt>
                <c:pt idx="246">
                  <c:v>2025-09-26</c:v>
                </c:pt>
                <c:pt idx="247">
                  <c:v>2025-09-27</c:v>
                </c:pt>
                <c:pt idx="248">
                  <c:v>2025-09-28</c:v>
                </c:pt>
                <c:pt idx="249">
                  <c:v>2025-09-29</c:v>
                </c:pt>
                <c:pt idx="250">
                  <c:v>2025-09-30</c:v>
                </c:pt>
                <c:pt idx="251">
                  <c:v>2025-10-01</c:v>
                </c:pt>
                <c:pt idx="252">
                  <c:v>2025-10-02</c:v>
                </c:pt>
                <c:pt idx="253">
                  <c:v>2025-10-03</c:v>
                </c:pt>
                <c:pt idx="254">
                  <c:v>2025-10-04</c:v>
                </c:pt>
                <c:pt idx="255">
                  <c:v>2025-10-05</c:v>
                </c:pt>
                <c:pt idx="256">
                  <c:v>2025-10-06</c:v>
                </c:pt>
                <c:pt idx="257">
                  <c:v>2025-10-07</c:v>
                </c:pt>
                <c:pt idx="258">
                  <c:v>2025-10-08</c:v>
                </c:pt>
                <c:pt idx="259">
                  <c:v>2025-10-09</c:v>
                </c:pt>
                <c:pt idx="260">
                  <c:v>2025-10-10</c:v>
                </c:pt>
                <c:pt idx="261">
                  <c:v>2025-10-11</c:v>
                </c:pt>
                <c:pt idx="262">
                  <c:v>2025-10-12</c:v>
                </c:pt>
                <c:pt idx="263">
                  <c:v>2025-10-13</c:v>
                </c:pt>
                <c:pt idx="264">
                  <c:v>2025-10-14</c:v>
                </c:pt>
                <c:pt idx="265">
                  <c:v>2025-10-15</c:v>
                </c:pt>
                <c:pt idx="266">
                  <c:v>2025-10-16</c:v>
                </c:pt>
                <c:pt idx="267">
                  <c:v>2025-10-17</c:v>
                </c:pt>
                <c:pt idx="268">
                  <c:v>2025-10-18</c:v>
                </c:pt>
                <c:pt idx="269">
                  <c:v>2025-10-19</c:v>
                </c:pt>
                <c:pt idx="270">
                  <c:v>2025-10-20</c:v>
                </c:pt>
                <c:pt idx="271">
                  <c:v>2025-10-21</c:v>
                </c:pt>
                <c:pt idx="272">
                  <c:v>2025-10-22</c:v>
                </c:pt>
                <c:pt idx="273">
                  <c:v>2025-10-23</c:v>
                </c:pt>
                <c:pt idx="274">
                  <c:v>2025-10-24</c:v>
                </c:pt>
                <c:pt idx="275">
                  <c:v>2025-10-25</c:v>
                </c:pt>
                <c:pt idx="276">
                  <c:v>2025-10-26</c:v>
                </c:pt>
                <c:pt idx="277">
                  <c:v>2025-10-28</c:v>
                </c:pt>
                <c:pt idx="278">
                  <c:v>2025-10-29</c:v>
                </c:pt>
                <c:pt idx="279">
                  <c:v>2025-10-31</c:v>
                </c:pt>
                <c:pt idx="280">
                  <c:v>2025-11-01</c:v>
                </c:pt>
                <c:pt idx="281">
                  <c:v>2025-11-02</c:v>
                </c:pt>
                <c:pt idx="282">
                  <c:v>2025-11-03</c:v>
                </c:pt>
                <c:pt idx="283">
                  <c:v>2025-11-04</c:v>
                </c:pt>
                <c:pt idx="284">
                  <c:v>2025-11-05</c:v>
                </c:pt>
                <c:pt idx="285">
                  <c:v>2025-11-06</c:v>
                </c:pt>
                <c:pt idx="286">
                  <c:v>2025-11-07</c:v>
                </c:pt>
                <c:pt idx="287">
                  <c:v>2025-11-08</c:v>
                </c:pt>
                <c:pt idx="288">
                  <c:v>2025-11-09</c:v>
                </c:pt>
                <c:pt idx="289">
                  <c:v>2025-11-10</c:v>
                </c:pt>
                <c:pt idx="290">
                  <c:v>2025-11-11</c:v>
                </c:pt>
                <c:pt idx="291">
                  <c:v>2025-11-12</c:v>
                </c:pt>
                <c:pt idx="292">
                  <c:v>2025-11-13</c:v>
                </c:pt>
                <c:pt idx="293">
                  <c:v>2025-11-14</c:v>
                </c:pt>
                <c:pt idx="294">
                  <c:v>2025-11-15</c:v>
                </c:pt>
                <c:pt idx="295">
                  <c:v>2025-11-16</c:v>
                </c:pt>
                <c:pt idx="296">
                  <c:v>2025-11-17</c:v>
                </c:pt>
                <c:pt idx="297">
                  <c:v>2025-11-18</c:v>
                </c:pt>
                <c:pt idx="298">
                  <c:v>2025-11-19</c:v>
                </c:pt>
                <c:pt idx="299">
                  <c:v>2025-11-20</c:v>
                </c:pt>
                <c:pt idx="300">
                  <c:v>2025-11-21</c:v>
                </c:pt>
                <c:pt idx="301">
                  <c:v>2025-11-22</c:v>
                </c:pt>
                <c:pt idx="302">
                  <c:v>2025-11-23</c:v>
                </c:pt>
                <c:pt idx="303">
                  <c:v>2025-11-24</c:v>
                </c:pt>
                <c:pt idx="304">
                  <c:v>2025-11-25</c:v>
                </c:pt>
                <c:pt idx="305">
                  <c:v>2025-11-26</c:v>
                </c:pt>
                <c:pt idx="306">
                  <c:v>2025-11-27</c:v>
                </c:pt>
                <c:pt idx="307">
                  <c:v>2025-11-28</c:v>
                </c:pt>
                <c:pt idx="308">
                  <c:v>2025-11-29</c:v>
                </c:pt>
                <c:pt idx="309">
                  <c:v>2025-11-30</c:v>
                </c:pt>
                <c:pt idx="310">
                  <c:v>2025-12-01</c:v>
                </c:pt>
                <c:pt idx="311">
                  <c:v>2025-12-02</c:v>
                </c:pt>
                <c:pt idx="312">
                  <c:v>2025-12-03</c:v>
                </c:pt>
                <c:pt idx="313">
                  <c:v>2025-12-04</c:v>
                </c:pt>
                <c:pt idx="314">
                  <c:v>2025-12-05</c:v>
                </c:pt>
                <c:pt idx="315">
                  <c:v>2025-12-06</c:v>
                </c:pt>
                <c:pt idx="316">
                  <c:v>2025-12-07</c:v>
                </c:pt>
                <c:pt idx="317">
                  <c:v>2025-12-08</c:v>
                </c:pt>
                <c:pt idx="318">
                  <c:v>2025-12-09</c:v>
                </c:pt>
                <c:pt idx="319">
                  <c:v>2025-12-10</c:v>
                </c:pt>
                <c:pt idx="320">
                  <c:v>2025-12-11</c:v>
                </c:pt>
                <c:pt idx="321">
                  <c:v>2025-12-12</c:v>
                </c:pt>
                <c:pt idx="322">
                  <c:v>2025-12-13</c:v>
                </c:pt>
                <c:pt idx="323">
                  <c:v>2025-12-14</c:v>
                </c:pt>
                <c:pt idx="324">
                  <c:v>2025-12-15</c:v>
                </c:pt>
                <c:pt idx="325">
                  <c:v>2025-12-16</c:v>
                </c:pt>
                <c:pt idx="326">
                  <c:v>2025-12-17</c:v>
                </c:pt>
                <c:pt idx="327">
                  <c:v>2025-12-18</c:v>
                </c:pt>
                <c:pt idx="328">
                  <c:v>2025-12-19</c:v>
                </c:pt>
                <c:pt idx="329">
                  <c:v>2025-12-20</c:v>
                </c:pt>
                <c:pt idx="330">
                  <c:v>2025-12-21</c:v>
                </c:pt>
                <c:pt idx="331">
                  <c:v>2025-12-22</c:v>
                </c:pt>
                <c:pt idx="332">
                  <c:v>2025-12-23</c:v>
                </c:pt>
                <c:pt idx="333">
                  <c:v>2025-12-24</c:v>
                </c:pt>
                <c:pt idx="334">
                  <c:v>2025-12-25</c:v>
                </c:pt>
                <c:pt idx="335">
                  <c:v>2025-12-26</c:v>
                </c:pt>
                <c:pt idx="336">
                  <c:v>2025-12-27</c:v>
                </c:pt>
                <c:pt idx="337">
                  <c:v>2025-12-28</c:v>
                </c:pt>
                <c:pt idx="338">
                  <c:v>2025-12-29</c:v>
                </c:pt>
                <c:pt idx="339">
                  <c:v>2025-12-30</c:v>
                </c:pt>
                <c:pt idx="340">
                  <c:v>2025-12-31</c:v>
                </c:pt>
                <c:pt idx="341">
                  <c:v>2026-01-01</c:v>
                </c:pt>
              </c:strCache>
            </c:strRef>
          </c:cat>
          <c:val>
            <c:numRef>
              <c:f>Sheet1!$B$4:$B$346</c:f>
              <c:numCache>
                <c:formatCode>General</c:formatCode>
                <c:ptCount val="342"/>
                <c:pt idx="0">
                  <c:v>23787.599999999999</c:v>
                </c:pt>
                <c:pt idx="1">
                  <c:v>307641.34999999998</c:v>
                </c:pt>
                <c:pt idx="2">
                  <c:v>194749.86</c:v>
                </c:pt>
                <c:pt idx="3">
                  <c:v>721080.92</c:v>
                </c:pt>
                <c:pt idx="4">
                  <c:v>591822.16</c:v>
                </c:pt>
                <c:pt idx="5">
                  <c:v>72852.100000000006</c:v>
                </c:pt>
                <c:pt idx="6">
                  <c:v>539901.84000000008</c:v>
                </c:pt>
                <c:pt idx="7">
                  <c:v>625004.75</c:v>
                </c:pt>
                <c:pt idx="8">
                  <c:v>853136.58</c:v>
                </c:pt>
                <c:pt idx="9">
                  <c:v>296338.06</c:v>
                </c:pt>
                <c:pt idx="10">
                  <c:v>696953.82</c:v>
                </c:pt>
                <c:pt idx="11">
                  <c:v>509436.29</c:v>
                </c:pt>
                <c:pt idx="12">
                  <c:v>207548.11</c:v>
                </c:pt>
                <c:pt idx="13">
                  <c:v>295210.68</c:v>
                </c:pt>
                <c:pt idx="14">
                  <c:v>682502.23</c:v>
                </c:pt>
                <c:pt idx="15">
                  <c:v>200969.45</c:v>
                </c:pt>
                <c:pt idx="16">
                  <c:v>294192.93</c:v>
                </c:pt>
                <c:pt idx="17">
                  <c:v>39400.400000000001</c:v>
                </c:pt>
                <c:pt idx="18">
                  <c:v>688914.03</c:v>
                </c:pt>
                <c:pt idx="19">
                  <c:v>423571.4</c:v>
                </c:pt>
                <c:pt idx="20">
                  <c:v>51372.25</c:v>
                </c:pt>
                <c:pt idx="21">
                  <c:v>226245.78</c:v>
                </c:pt>
                <c:pt idx="22">
                  <c:v>385886.58</c:v>
                </c:pt>
                <c:pt idx="23">
                  <c:v>152156.34</c:v>
                </c:pt>
                <c:pt idx="24">
                  <c:v>222112.21</c:v>
                </c:pt>
                <c:pt idx="25">
                  <c:v>65068.15</c:v>
                </c:pt>
                <c:pt idx="26">
                  <c:v>463565.18000000005</c:v>
                </c:pt>
                <c:pt idx="27">
                  <c:v>264769.68</c:v>
                </c:pt>
                <c:pt idx="28">
                  <c:v>274084.29000000004</c:v>
                </c:pt>
                <c:pt idx="29">
                  <c:v>238516.14</c:v>
                </c:pt>
                <c:pt idx="30">
                  <c:v>231341.36</c:v>
                </c:pt>
                <c:pt idx="31">
                  <c:v>213936.9</c:v>
                </c:pt>
                <c:pt idx="32">
                  <c:v>719913.01</c:v>
                </c:pt>
                <c:pt idx="33">
                  <c:v>1171103.33</c:v>
                </c:pt>
                <c:pt idx="34">
                  <c:v>219690.99999999997</c:v>
                </c:pt>
                <c:pt idx="35">
                  <c:v>211014.96</c:v>
                </c:pt>
                <c:pt idx="36">
                  <c:v>499455.77</c:v>
                </c:pt>
                <c:pt idx="37">
                  <c:v>317658.06</c:v>
                </c:pt>
                <c:pt idx="38">
                  <c:v>1578490.76</c:v>
                </c:pt>
                <c:pt idx="39">
                  <c:v>267031.24</c:v>
                </c:pt>
                <c:pt idx="40">
                  <c:v>98255.31</c:v>
                </c:pt>
                <c:pt idx="41">
                  <c:v>431225.59</c:v>
                </c:pt>
                <c:pt idx="42">
                  <c:v>91618.18</c:v>
                </c:pt>
                <c:pt idx="43">
                  <c:v>228629.35</c:v>
                </c:pt>
                <c:pt idx="44">
                  <c:v>665376.86</c:v>
                </c:pt>
                <c:pt idx="45">
                  <c:v>214543.4</c:v>
                </c:pt>
                <c:pt idx="46">
                  <c:v>638622.62000000011</c:v>
                </c:pt>
                <c:pt idx="47">
                  <c:v>640792.78</c:v>
                </c:pt>
                <c:pt idx="48">
                  <c:v>737058.21</c:v>
                </c:pt>
                <c:pt idx="49">
                  <c:v>367008.04999999993</c:v>
                </c:pt>
                <c:pt idx="50">
                  <c:v>397280.78</c:v>
                </c:pt>
                <c:pt idx="51">
                  <c:v>446010.50000000012</c:v>
                </c:pt>
                <c:pt idx="52">
                  <c:v>612523.01</c:v>
                </c:pt>
                <c:pt idx="53">
                  <c:v>16499.400000000001</c:v>
                </c:pt>
                <c:pt idx="54">
                  <c:v>843798.3899999999</c:v>
                </c:pt>
                <c:pt idx="55">
                  <c:v>299490.08</c:v>
                </c:pt>
                <c:pt idx="56">
                  <c:v>334559.88</c:v>
                </c:pt>
                <c:pt idx="57">
                  <c:v>609548.08000000007</c:v>
                </c:pt>
                <c:pt idx="58">
                  <c:v>1245838.4500000002</c:v>
                </c:pt>
                <c:pt idx="59">
                  <c:v>385266.98</c:v>
                </c:pt>
                <c:pt idx="60">
                  <c:v>437035.54000000004</c:v>
                </c:pt>
                <c:pt idx="61">
                  <c:v>625974.22</c:v>
                </c:pt>
                <c:pt idx="62">
                  <c:v>36587.919999999998</c:v>
                </c:pt>
                <c:pt idx="63">
                  <c:v>1016615.4500000001</c:v>
                </c:pt>
                <c:pt idx="64">
                  <c:v>533015.02</c:v>
                </c:pt>
                <c:pt idx="65">
                  <c:v>435872.24</c:v>
                </c:pt>
                <c:pt idx="66">
                  <c:v>623708.92000000004</c:v>
                </c:pt>
                <c:pt idx="67">
                  <c:v>193512.53</c:v>
                </c:pt>
                <c:pt idx="68">
                  <c:v>324318.12</c:v>
                </c:pt>
                <c:pt idx="69">
                  <c:v>648758.70000000007</c:v>
                </c:pt>
                <c:pt idx="70">
                  <c:v>483010.12</c:v>
                </c:pt>
                <c:pt idx="71">
                  <c:v>202208.76</c:v>
                </c:pt>
                <c:pt idx="72">
                  <c:v>197027.7</c:v>
                </c:pt>
                <c:pt idx="73">
                  <c:v>1001459.48</c:v>
                </c:pt>
                <c:pt idx="74">
                  <c:v>487506.6</c:v>
                </c:pt>
                <c:pt idx="75">
                  <c:v>1044614.5099999999</c:v>
                </c:pt>
                <c:pt idx="76">
                  <c:v>67695.930000000008</c:v>
                </c:pt>
                <c:pt idx="77">
                  <c:v>125483.1</c:v>
                </c:pt>
                <c:pt idx="78">
                  <c:v>828268.6</c:v>
                </c:pt>
                <c:pt idx="79">
                  <c:v>12225.22</c:v>
                </c:pt>
                <c:pt idx="80">
                  <c:v>250111.04</c:v>
                </c:pt>
                <c:pt idx="81">
                  <c:v>1170455.07</c:v>
                </c:pt>
                <c:pt idx="82">
                  <c:v>425093.49</c:v>
                </c:pt>
                <c:pt idx="83">
                  <c:v>568465.05000000005</c:v>
                </c:pt>
                <c:pt idx="84">
                  <c:v>720567.42999999993</c:v>
                </c:pt>
                <c:pt idx="85">
                  <c:v>106419.88</c:v>
                </c:pt>
                <c:pt idx="86">
                  <c:v>283722.64</c:v>
                </c:pt>
                <c:pt idx="87">
                  <c:v>241032.51</c:v>
                </c:pt>
                <c:pt idx="88">
                  <c:v>47539.35</c:v>
                </c:pt>
                <c:pt idx="89">
                  <c:v>959013.60999999987</c:v>
                </c:pt>
                <c:pt idx="90">
                  <c:v>22073.279999999999</c:v>
                </c:pt>
                <c:pt idx="91">
                  <c:v>684713.52</c:v>
                </c:pt>
                <c:pt idx="92">
                  <c:v>261998.07999999999</c:v>
                </c:pt>
                <c:pt idx="93">
                  <c:v>86527.34</c:v>
                </c:pt>
                <c:pt idx="94">
                  <c:v>153670.14000000001</c:v>
                </c:pt>
                <c:pt idx="95">
                  <c:v>1429318.04</c:v>
                </c:pt>
                <c:pt idx="96">
                  <c:v>286616.56000000006</c:v>
                </c:pt>
                <c:pt idx="97">
                  <c:v>869053.62000000011</c:v>
                </c:pt>
                <c:pt idx="98">
                  <c:v>186072.9</c:v>
                </c:pt>
                <c:pt idx="99">
                  <c:v>283800.74</c:v>
                </c:pt>
                <c:pt idx="100">
                  <c:v>415241.48</c:v>
                </c:pt>
                <c:pt idx="101">
                  <c:v>175335.5</c:v>
                </c:pt>
                <c:pt idx="102">
                  <c:v>370815.73</c:v>
                </c:pt>
                <c:pt idx="103">
                  <c:v>206248.56</c:v>
                </c:pt>
                <c:pt idx="104">
                  <c:v>216126.48</c:v>
                </c:pt>
                <c:pt idx="105">
                  <c:v>284944.09999999998</c:v>
                </c:pt>
                <c:pt idx="106">
                  <c:v>200684.65000000002</c:v>
                </c:pt>
                <c:pt idx="107">
                  <c:v>928766.69</c:v>
                </c:pt>
                <c:pt idx="108">
                  <c:v>121791.05</c:v>
                </c:pt>
                <c:pt idx="109">
                  <c:v>266481.64</c:v>
                </c:pt>
                <c:pt idx="110">
                  <c:v>165569.18</c:v>
                </c:pt>
                <c:pt idx="111">
                  <c:v>544509.42000000004</c:v>
                </c:pt>
                <c:pt idx="112">
                  <c:v>277904.09000000003</c:v>
                </c:pt>
                <c:pt idx="113">
                  <c:v>972585.47</c:v>
                </c:pt>
                <c:pt idx="114">
                  <c:v>625825.69999999995</c:v>
                </c:pt>
                <c:pt idx="115">
                  <c:v>603688.07000000007</c:v>
                </c:pt>
                <c:pt idx="116">
                  <c:v>225409.88</c:v>
                </c:pt>
                <c:pt idx="117">
                  <c:v>137016.05000000002</c:v>
                </c:pt>
                <c:pt idx="118">
                  <c:v>516793.88</c:v>
                </c:pt>
                <c:pt idx="119">
                  <c:v>681348.66999999993</c:v>
                </c:pt>
                <c:pt idx="120">
                  <c:v>217182.66</c:v>
                </c:pt>
                <c:pt idx="121">
                  <c:v>608410.46</c:v>
                </c:pt>
                <c:pt idx="122">
                  <c:v>616989.48</c:v>
                </c:pt>
                <c:pt idx="123">
                  <c:v>117566.37</c:v>
                </c:pt>
                <c:pt idx="124">
                  <c:v>40250.629999999997</c:v>
                </c:pt>
                <c:pt idx="125">
                  <c:v>638646.07999999996</c:v>
                </c:pt>
                <c:pt idx="126">
                  <c:v>711122.52</c:v>
                </c:pt>
                <c:pt idx="127">
                  <c:v>139833.82</c:v>
                </c:pt>
                <c:pt idx="128">
                  <c:v>772373.07</c:v>
                </c:pt>
                <c:pt idx="129">
                  <c:v>106274.97</c:v>
                </c:pt>
                <c:pt idx="130">
                  <c:v>59786.310000000005</c:v>
                </c:pt>
                <c:pt idx="131">
                  <c:v>402956.64</c:v>
                </c:pt>
                <c:pt idx="132">
                  <c:v>188291.24</c:v>
                </c:pt>
                <c:pt idx="133">
                  <c:v>171199.65999999997</c:v>
                </c:pt>
                <c:pt idx="134">
                  <c:v>414789.57</c:v>
                </c:pt>
                <c:pt idx="135">
                  <c:v>1229.02</c:v>
                </c:pt>
                <c:pt idx="136">
                  <c:v>241646.03999999998</c:v>
                </c:pt>
                <c:pt idx="137">
                  <c:v>116346.33</c:v>
                </c:pt>
                <c:pt idx="138">
                  <c:v>669143.97</c:v>
                </c:pt>
                <c:pt idx="139">
                  <c:v>202982.75</c:v>
                </c:pt>
                <c:pt idx="140">
                  <c:v>222617.52000000002</c:v>
                </c:pt>
                <c:pt idx="141">
                  <c:v>762761.55</c:v>
                </c:pt>
                <c:pt idx="142">
                  <c:v>1251517.9600000002</c:v>
                </c:pt>
                <c:pt idx="143">
                  <c:v>324316.63</c:v>
                </c:pt>
                <c:pt idx="144">
                  <c:v>154570.56</c:v>
                </c:pt>
                <c:pt idx="145">
                  <c:v>1308365.6099999999</c:v>
                </c:pt>
                <c:pt idx="146">
                  <c:v>617268.59</c:v>
                </c:pt>
                <c:pt idx="147">
                  <c:v>777662.65</c:v>
                </c:pt>
                <c:pt idx="148">
                  <c:v>127543.5</c:v>
                </c:pt>
                <c:pt idx="149">
                  <c:v>551755.06000000006</c:v>
                </c:pt>
                <c:pt idx="150">
                  <c:v>591719.15</c:v>
                </c:pt>
                <c:pt idx="151">
                  <c:v>82162.03</c:v>
                </c:pt>
                <c:pt idx="152">
                  <c:v>85037.6</c:v>
                </c:pt>
                <c:pt idx="153">
                  <c:v>726170.09000000008</c:v>
                </c:pt>
                <c:pt idx="154">
                  <c:v>48695.59</c:v>
                </c:pt>
                <c:pt idx="155">
                  <c:v>400840.02</c:v>
                </c:pt>
                <c:pt idx="156">
                  <c:v>395746</c:v>
                </c:pt>
                <c:pt idx="157">
                  <c:v>258201.16</c:v>
                </c:pt>
                <c:pt idx="158">
                  <c:v>805528.83000000007</c:v>
                </c:pt>
                <c:pt idx="159">
                  <c:v>587281.31000000006</c:v>
                </c:pt>
                <c:pt idx="160">
                  <c:v>466038.69999999995</c:v>
                </c:pt>
                <c:pt idx="161">
                  <c:v>331928.42000000004</c:v>
                </c:pt>
                <c:pt idx="162">
                  <c:v>549789.11</c:v>
                </c:pt>
                <c:pt idx="163">
                  <c:v>100174.51999999999</c:v>
                </c:pt>
                <c:pt idx="164">
                  <c:v>162554.32</c:v>
                </c:pt>
                <c:pt idx="165">
                  <c:v>169281.32</c:v>
                </c:pt>
                <c:pt idx="166">
                  <c:v>849822.09</c:v>
                </c:pt>
                <c:pt idx="167">
                  <c:v>354144.58999999997</c:v>
                </c:pt>
                <c:pt idx="168">
                  <c:v>338531.22</c:v>
                </c:pt>
                <c:pt idx="169">
                  <c:v>714092.55999999994</c:v>
                </c:pt>
                <c:pt idx="170">
                  <c:v>411098.3</c:v>
                </c:pt>
                <c:pt idx="171">
                  <c:v>442459.06999999995</c:v>
                </c:pt>
                <c:pt idx="172">
                  <c:v>1081809.3599999999</c:v>
                </c:pt>
                <c:pt idx="173">
                  <c:v>349750.25</c:v>
                </c:pt>
                <c:pt idx="174">
                  <c:v>473364.16</c:v>
                </c:pt>
                <c:pt idx="175">
                  <c:v>215754.42</c:v>
                </c:pt>
                <c:pt idx="176">
                  <c:v>686361.27999999991</c:v>
                </c:pt>
                <c:pt idx="177">
                  <c:v>62003.61</c:v>
                </c:pt>
                <c:pt idx="178">
                  <c:v>780035.64000000013</c:v>
                </c:pt>
                <c:pt idx="179">
                  <c:v>87386.72</c:v>
                </c:pt>
                <c:pt idx="180">
                  <c:v>143666.44</c:v>
                </c:pt>
                <c:pt idx="181">
                  <c:v>332643.90000000002</c:v>
                </c:pt>
                <c:pt idx="182">
                  <c:v>534254.91999999993</c:v>
                </c:pt>
                <c:pt idx="183">
                  <c:v>511167.64999999997</c:v>
                </c:pt>
                <c:pt idx="184">
                  <c:v>707263.84000000008</c:v>
                </c:pt>
                <c:pt idx="185">
                  <c:v>565694.16</c:v>
                </c:pt>
                <c:pt idx="186">
                  <c:v>167795.58</c:v>
                </c:pt>
                <c:pt idx="187">
                  <c:v>333300.72000000003</c:v>
                </c:pt>
                <c:pt idx="188">
                  <c:v>89054.9</c:v>
                </c:pt>
                <c:pt idx="189">
                  <c:v>455182.97</c:v>
                </c:pt>
                <c:pt idx="190">
                  <c:v>856468.36</c:v>
                </c:pt>
                <c:pt idx="191">
                  <c:v>312531.66000000003</c:v>
                </c:pt>
                <c:pt idx="192">
                  <c:v>283079.69</c:v>
                </c:pt>
                <c:pt idx="193">
                  <c:v>457330.83</c:v>
                </c:pt>
                <c:pt idx="194">
                  <c:v>329849.45999999996</c:v>
                </c:pt>
                <c:pt idx="195">
                  <c:v>3727.43</c:v>
                </c:pt>
                <c:pt idx="196">
                  <c:v>1132054.5399999998</c:v>
                </c:pt>
                <c:pt idx="197">
                  <c:v>524698.53999999992</c:v>
                </c:pt>
                <c:pt idx="198">
                  <c:v>430527.84</c:v>
                </c:pt>
                <c:pt idx="199">
                  <c:v>118742.95999999999</c:v>
                </c:pt>
                <c:pt idx="200">
                  <c:v>105732.81</c:v>
                </c:pt>
                <c:pt idx="201">
                  <c:v>120601.31</c:v>
                </c:pt>
                <c:pt idx="202">
                  <c:v>361914.47</c:v>
                </c:pt>
                <c:pt idx="203">
                  <c:v>396508.07999999996</c:v>
                </c:pt>
                <c:pt idx="204">
                  <c:v>742804.24</c:v>
                </c:pt>
                <c:pt idx="205">
                  <c:v>271389.68</c:v>
                </c:pt>
                <c:pt idx="206">
                  <c:v>126051.16</c:v>
                </c:pt>
                <c:pt idx="207">
                  <c:v>182906.4</c:v>
                </c:pt>
                <c:pt idx="208">
                  <c:v>13705.83</c:v>
                </c:pt>
                <c:pt idx="209">
                  <c:v>97209.96</c:v>
                </c:pt>
                <c:pt idx="210">
                  <c:v>313519.95</c:v>
                </c:pt>
                <c:pt idx="211">
                  <c:v>17548.5</c:v>
                </c:pt>
                <c:pt idx="212">
                  <c:v>867100.5199999999</c:v>
                </c:pt>
                <c:pt idx="213">
                  <c:v>568341.48</c:v>
                </c:pt>
                <c:pt idx="214">
                  <c:v>1138958.6299999999</c:v>
                </c:pt>
                <c:pt idx="215">
                  <c:v>275391.42</c:v>
                </c:pt>
                <c:pt idx="216">
                  <c:v>203819.75</c:v>
                </c:pt>
                <c:pt idx="217">
                  <c:v>64336.72</c:v>
                </c:pt>
                <c:pt idx="218">
                  <c:v>241065.81</c:v>
                </c:pt>
                <c:pt idx="219">
                  <c:v>612161.94999999995</c:v>
                </c:pt>
                <c:pt idx="220">
                  <c:v>187801.78</c:v>
                </c:pt>
                <c:pt idx="221">
                  <c:v>111355.98</c:v>
                </c:pt>
                <c:pt idx="222">
                  <c:v>342076.57</c:v>
                </c:pt>
                <c:pt idx="223">
                  <c:v>328096.23</c:v>
                </c:pt>
                <c:pt idx="224">
                  <c:v>879059.16999999993</c:v>
                </c:pt>
                <c:pt idx="225">
                  <c:v>464137.49</c:v>
                </c:pt>
                <c:pt idx="226">
                  <c:v>272282.31</c:v>
                </c:pt>
                <c:pt idx="227">
                  <c:v>375130.45999999996</c:v>
                </c:pt>
                <c:pt idx="228">
                  <c:v>274999.34999999998</c:v>
                </c:pt>
                <c:pt idx="229">
                  <c:v>837973.40999999992</c:v>
                </c:pt>
                <c:pt idx="230">
                  <c:v>43373.54</c:v>
                </c:pt>
                <c:pt idx="231">
                  <c:v>250397.41999999998</c:v>
                </c:pt>
                <c:pt idx="232">
                  <c:v>99311.77</c:v>
                </c:pt>
                <c:pt idx="233">
                  <c:v>590579.95000000007</c:v>
                </c:pt>
                <c:pt idx="234">
                  <c:v>272158.09999999998</c:v>
                </c:pt>
                <c:pt idx="235">
                  <c:v>27183.98</c:v>
                </c:pt>
                <c:pt idx="236">
                  <c:v>48215.86</c:v>
                </c:pt>
                <c:pt idx="237">
                  <c:v>1031405.48</c:v>
                </c:pt>
                <c:pt idx="238">
                  <c:v>588289.68000000005</c:v>
                </c:pt>
                <c:pt idx="239">
                  <c:v>17299.04</c:v>
                </c:pt>
                <c:pt idx="240">
                  <c:v>185307.11000000002</c:v>
                </c:pt>
                <c:pt idx="241">
                  <c:v>267318.91000000003</c:v>
                </c:pt>
                <c:pt idx="242">
                  <c:v>121529.76</c:v>
                </c:pt>
                <c:pt idx="243">
                  <c:v>115263.96</c:v>
                </c:pt>
                <c:pt idx="244">
                  <c:v>97826.15</c:v>
                </c:pt>
                <c:pt idx="245">
                  <c:v>6050.27</c:v>
                </c:pt>
                <c:pt idx="246">
                  <c:v>331505.24</c:v>
                </c:pt>
                <c:pt idx="247">
                  <c:v>158916.6</c:v>
                </c:pt>
                <c:pt idx="248">
                  <c:v>343057.3</c:v>
                </c:pt>
                <c:pt idx="249">
                  <c:v>392777.39</c:v>
                </c:pt>
                <c:pt idx="250">
                  <c:v>307017.81</c:v>
                </c:pt>
                <c:pt idx="251">
                  <c:v>275135.32999999996</c:v>
                </c:pt>
                <c:pt idx="252">
                  <c:v>284596.46000000002</c:v>
                </c:pt>
                <c:pt idx="253">
                  <c:v>280670.53000000003</c:v>
                </c:pt>
                <c:pt idx="254">
                  <c:v>617228.90999999992</c:v>
                </c:pt>
                <c:pt idx="255">
                  <c:v>457195.85000000003</c:v>
                </c:pt>
                <c:pt idx="256">
                  <c:v>167403.22999999998</c:v>
                </c:pt>
                <c:pt idx="257">
                  <c:v>121853.1</c:v>
                </c:pt>
                <c:pt idx="258">
                  <c:v>313708.77999999997</c:v>
                </c:pt>
                <c:pt idx="259">
                  <c:v>1495.14</c:v>
                </c:pt>
                <c:pt idx="260">
                  <c:v>327185.07</c:v>
                </c:pt>
                <c:pt idx="261">
                  <c:v>380355.26</c:v>
                </c:pt>
                <c:pt idx="262">
                  <c:v>426928</c:v>
                </c:pt>
                <c:pt idx="263">
                  <c:v>530870.75</c:v>
                </c:pt>
                <c:pt idx="264">
                  <c:v>1358272.46</c:v>
                </c:pt>
                <c:pt idx="265">
                  <c:v>310619.75</c:v>
                </c:pt>
                <c:pt idx="266">
                  <c:v>388557.42</c:v>
                </c:pt>
                <c:pt idx="267">
                  <c:v>171708.14</c:v>
                </c:pt>
                <c:pt idx="268">
                  <c:v>93055.86</c:v>
                </c:pt>
                <c:pt idx="269">
                  <c:v>49403.839999999997</c:v>
                </c:pt>
                <c:pt idx="270">
                  <c:v>273383.06</c:v>
                </c:pt>
                <c:pt idx="271">
                  <c:v>608133.06999999995</c:v>
                </c:pt>
                <c:pt idx="272">
                  <c:v>665309.27999999991</c:v>
                </c:pt>
                <c:pt idx="273">
                  <c:v>637941.75</c:v>
                </c:pt>
                <c:pt idx="274">
                  <c:v>833404.28</c:v>
                </c:pt>
                <c:pt idx="275">
                  <c:v>334929.09999999998</c:v>
                </c:pt>
                <c:pt idx="276">
                  <c:v>693585.16</c:v>
                </c:pt>
                <c:pt idx="277">
                  <c:v>601138.86</c:v>
                </c:pt>
                <c:pt idx="278">
                  <c:v>681953.05</c:v>
                </c:pt>
                <c:pt idx="279">
                  <c:v>614915.01</c:v>
                </c:pt>
                <c:pt idx="280">
                  <c:v>689978.58000000007</c:v>
                </c:pt>
                <c:pt idx="281">
                  <c:v>253269.24000000002</c:v>
                </c:pt>
                <c:pt idx="282">
                  <c:v>34742.76</c:v>
                </c:pt>
                <c:pt idx="283">
                  <c:v>453859.70999999996</c:v>
                </c:pt>
                <c:pt idx="284">
                  <c:v>585178.32000000007</c:v>
                </c:pt>
                <c:pt idx="285">
                  <c:v>552792.46</c:v>
                </c:pt>
                <c:pt idx="286">
                  <c:v>1099718.31</c:v>
                </c:pt>
                <c:pt idx="287">
                  <c:v>361804.33</c:v>
                </c:pt>
                <c:pt idx="288">
                  <c:v>176781.2</c:v>
                </c:pt>
                <c:pt idx="289">
                  <c:v>122431.8</c:v>
                </c:pt>
                <c:pt idx="290">
                  <c:v>107745.36</c:v>
                </c:pt>
                <c:pt idx="291">
                  <c:v>578342.88</c:v>
                </c:pt>
                <c:pt idx="292">
                  <c:v>359959.29000000004</c:v>
                </c:pt>
                <c:pt idx="293">
                  <c:v>232580.11000000002</c:v>
                </c:pt>
                <c:pt idx="294">
                  <c:v>278427.28000000003</c:v>
                </c:pt>
                <c:pt idx="295">
                  <c:v>365739.9</c:v>
                </c:pt>
                <c:pt idx="296">
                  <c:v>240883.83</c:v>
                </c:pt>
                <c:pt idx="297">
                  <c:v>276698.28000000003</c:v>
                </c:pt>
                <c:pt idx="298">
                  <c:v>1200241.17</c:v>
                </c:pt>
                <c:pt idx="299">
                  <c:v>360108.6</c:v>
                </c:pt>
                <c:pt idx="300">
                  <c:v>273132.90000000002</c:v>
                </c:pt>
                <c:pt idx="301">
                  <c:v>499943.76999999996</c:v>
                </c:pt>
                <c:pt idx="302">
                  <c:v>384118.26999999996</c:v>
                </c:pt>
                <c:pt idx="303">
                  <c:v>349767.9</c:v>
                </c:pt>
                <c:pt idx="304">
                  <c:v>237573.1</c:v>
                </c:pt>
                <c:pt idx="305">
                  <c:v>485538.24</c:v>
                </c:pt>
                <c:pt idx="306">
                  <c:v>546961.67000000004</c:v>
                </c:pt>
                <c:pt idx="307">
                  <c:v>444016.4</c:v>
                </c:pt>
                <c:pt idx="308">
                  <c:v>467239.58999999997</c:v>
                </c:pt>
                <c:pt idx="309">
                  <c:v>608044.97</c:v>
                </c:pt>
                <c:pt idx="310">
                  <c:v>435849.98</c:v>
                </c:pt>
                <c:pt idx="311">
                  <c:v>256872.24</c:v>
                </c:pt>
                <c:pt idx="312">
                  <c:v>200981.7</c:v>
                </c:pt>
                <c:pt idx="313">
                  <c:v>955404.98</c:v>
                </c:pt>
                <c:pt idx="314">
                  <c:v>144840.29</c:v>
                </c:pt>
                <c:pt idx="315">
                  <c:v>542450.07999999996</c:v>
                </c:pt>
                <c:pt idx="316">
                  <c:v>485948.19</c:v>
                </c:pt>
                <c:pt idx="317">
                  <c:v>313418.15000000002</c:v>
                </c:pt>
                <c:pt idx="318">
                  <c:v>981351.10000000009</c:v>
                </c:pt>
                <c:pt idx="319">
                  <c:v>178731.57</c:v>
                </c:pt>
                <c:pt idx="320">
                  <c:v>339751.37</c:v>
                </c:pt>
                <c:pt idx="321">
                  <c:v>855766.06</c:v>
                </c:pt>
                <c:pt idx="322">
                  <c:v>310658.52</c:v>
                </c:pt>
                <c:pt idx="323">
                  <c:v>330592.38</c:v>
                </c:pt>
                <c:pt idx="324">
                  <c:v>992394.38</c:v>
                </c:pt>
                <c:pt idx="325">
                  <c:v>366762.14999999997</c:v>
                </c:pt>
                <c:pt idx="326">
                  <c:v>336551.43999999994</c:v>
                </c:pt>
                <c:pt idx="327">
                  <c:v>167292.37</c:v>
                </c:pt>
                <c:pt idx="328">
                  <c:v>431527.97000000003</c:v>
                </c:pt>
                <c:pt idx="329">
                  <c:v>219823.88999999998</c:v>
                </c:pt>
                <c:pt idx="330">
                  <c:v>148956.46000000002</c:v>
                </c:pt>
                <c:pt idx="331">
                  <c:v>336839.4</c:v>
                </c:pt>
                <c:pt idx="332">
                  <c:v>573354.91</c:v>
                </c:pt>
                <c:pt idx="333">
                  <c:v>8872.0300000000007</c:v>
                </c:pt>
                <c:pt idx="334">
                  <c:v>720339.08000000007</c:v>
                </c:pt>
                <c:pt idx="335">
                  <c:v>182445.41999999998</c:v>
                </c:pt>
                <c:pt idx="336">
                  <c:v>368373.65</c:v>
                </c:pt>
                <c:pt idx="337">
                  <c:v>256767.72</c:v>
                </c:pt>
                <c:pt idx="338">
                  <c:v>270452.40000000002</c:v>
                </c:pt>
                <c:pt idx="339">
                  <c:v>62518.32</c:v>
                </c:pt>
                <c:pt idx="340">
                  <c:v>524016.24</c:v>
                </c:pt>
                <c:pt idx="341">
                  <c:v>809389.99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2-40AD-9CC6-5848401B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740896"/>
        <c:axId val="581210960"/>
      </c:barChart>
      <c:catAx>
        <c:axId val="7147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10960"/>
        <c:crosses val="autoZero"/>
        <c:auto val="1"/>
        <c:lblAlgn val="ctr"/>
        <c:lblOffset val="100"/>
        <c:noMultiLvlLbl val="0"/>
      </c:catAx>
      <c:valAx>
        <c:axId val="5812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VS TotalSales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2257217847771"/>
          <c:y val="0.14856481481481484"/>
          <c:w val="0.84896958468426742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Cleaned_Sales_Dataset!$L$1</c:f>
              <c:strCache>
                <c:ptCount val="1"/>
                <c:pt idx="0">
                  <c:v>TotalSales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7913231434306"/>
                  <c:y val="-0.348828740157480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Cleaned_Sales_Dataset!$J$2:$J$1001</c:f>
              <c:numCache>
                <c:formatCode>General</c:formatCode>
                <c:ptCount val="1000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6</c:v>
                </c:pt>
                <c:pt idx="7">
                  <c:v>3</c:v>
                </c:pt>
                <c:pt idx="8">
                  <c:v>6</c:v>
                </c:pt>
                <c:pt idx="9">
                  <c:v>8</c:v>
                </c:pt>
                <c:pt idx="10">
                  <c:v>3</c:v>
                </c:pt>
                <c:pt idx="11">
                  <c:v>6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</c:v>
                </c:pt>
                <c:pt idx="18">
                  <c:v>5</c:v>
                </c:pt>
                <c:pt idx="19">
                  <c:v>8</c:v>
                </c:pt>
                <c:pt idx="20">
                  <c:v>1</c:v>
                </c:pt>
                <c:pt idx="21">
                  <c:v>7</c:v>
                </c:pt>
                <c:pt idx="22">
                  <c:v>10</c:v>
                </c:pt>
                <c:pt idx="23">
                  <c:v>2</c:v>
                </c:pt>
                <c:pt idx="24">
                  <c:v>7</c:v>
                </c:pt>
                <c:pt idx="25">
                  <c:v>9</c:v>
                </c:pt>
                <c:pt idx="26">
                  <c:v>2</c:v>
                </c:pt>
                <c:pt idx="27">
                  <c:v>5</c:v>
                </c:pt>
                <c:pt idx="28">
                  <c:v>10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8</c:v>
                </c:pt>
                <c:pt idx="36">
                  <c:v>7</c:v>
                </c:pt>
                <c:pt idx="37">
                  <c:v>4</c:v>
                </c:pt>
                <c:pt idx="38">
                  <c:v>8</c:v>
                </c:pt>
                <c:pt idx="39">
                  <c:v>1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6</c:v>
                </c:pt>
                <c:pt idx="44">
                  <c:v>9</c:v>
                </c:pt>
                <c:pt idx="45">
                  <c:v>2</c:v>
                </c:pt>
                <c:pt idx="46">
                  <c:v>2</c:v>
                </c:pt>
                <c:pt idx="47">
                  <c:v>5</c:v>
                </c:pt>
                <c:pt idx="48">
                  <c:v>9</c:v>
                </c:pt>
                <c:pt idx="49">
                  <c:v>6</c:v>
                </c:pt>
                <c:pt idx="50">
                  <c:v>10</c:v>
                </c:pt>
                <c:pt idx="51">
                  <c:v>6</c:v>
                </c:pt>
                <c:pt idx="52">
                  <c:v>7</c:v>
                </c:pt>
                <c:pt idx="53">
                  <c:v>7</c:v>
                </c:pt>
                <c:pt idx="54">
                  <c:v>2</c:v>
                </c:pt>
                <c:pt idx="55">
                  <c:v>6</c:v>
                </c:pt>
                <c:pt idx="56">
                  <c:v>7</c:v>
                </c:pt>
                <c:pt idx="57">
                  <c:v>1</c:v>
                </c:pt>
                <c:pt idx="58">
                  <c:v>5</c:v>
                </c:pt>
                <c:pt idx="59">
                  <c:v>4</c:v>
                </c:pt>
                <c:pt idx="60">
                  <c:v>1</c:v>
                </c:pt>
                <c:pt idx="61">
                  <c:v>3</c:v>
                </c:pt>
                <c:pt idx="62">
                  <c:v>6</c:v>
                </c:pt>
                <c:pt idx="63">
                  <c:v>9</c:v>
                </c:pt>
                <c:pt idx="64">
                  <c:v>10</c:v>
                </c:pt>
                <c:pt idx="65">
                  <c:v>10</c:v>
                </c:pt>
                <c:pt idx="66">
                  <c:v>5</c:v>
                </c:pt>
                <c:pt idx="67">
                  <c:v>5</c:v>
                </c:pt>
                <c:pt idx="68">
                  <c:v>8</c:v>
                </c:pt>
                <c:pt idx="69">
                  <c:v>8</c:v>
                </c:pt>
                <c:pt idx="70">
                  <c:v>5</c:v>
                </c:pt>
                <c:pt idx="71">
                  <c:v>3</c:v>
                </c:pt>
                <c:pt idx="72">
                  <c:v>9</c:v>
                </c:pt>
                <c:pt idx="73">
                  <c:v>4</c:v>
                </c:pt>
                <c:pt idx="74">
                  <c:v>2</c:v>
                </c:pt>
                <c:pt idx="75">
                  <c:v>9</c:v>
                </c:pt>
                <c:pt idx="76">
                  <c:v>6</c:v>
                </c:pt>
                <c:pt idx="77">
                  <c:v>1</c:v>
                </c:pt>
                <c:pt idx="78">
                  <c:v>1</c:v>
                </c:pt>
                <c:pt idx="79">
                  <c:v>9</c:v>
                </c:pt>
                <c:pt idx="80">
                  <c:v>6</c:v>
                </c:pt>
                <c:pt idx="81">
                  <c:v>9</c:v>
                </c:pt>
                <c:pt idx="82">
                  <c:v>9</c:v>
                </c:pt>
                <c:pt idx="83">
                  <c:v>8</c:v>
                </c:pt>
                <c:pt idx="84">
                  <c:v>10</c:v>
                </c:pt>
                <c:pt idx="85">
                  <c:v>4</c:v>
                </c:pt>
                <c:pt idx="86">
                  <c:v>6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2</c:v>
                </c:pt>
                <c:pt idx="91">
                  <c:v>8</c:v>
                </c:pt>
                <c:pt idx="92">
                  <c:v>3</c:v>
                </c:pt>
                <c:pt idx="93">
                  <c:v>10</c:v>
                </c:pt>
                <c:pt idx="94">
                  <c:v>5</c:v>
                </c:pt>
                <c:pt idx="95">
                  <c:v>7</c:v>
                </c:pt>
                <c:pt idx="96">
                  <c:v>10</c:v>
                </c:pt>
                <c:pt idx="97">
                  <c:v>2</c:v>
                </c:pt>
                <c:pt idx="98">
                  <c:v>5</c:v>
                </c:pt>
                <c:pt idx="99">
                  <c:v>4</c:v>
                </c:pt>
                <c:pt idx="100">
                  <c:v>9</c:v>
                </c:pt>
                <c:pt idx="101">
                  <c:v>9</c:v>
                </c:pt>
                <c:pt idx="102">
                  <c:v>8</c:v>
                </c:pt>
                <c:pt idx="103">
                  <c:v>6</c:v>
                </c:pt>
                <c:pt idx="104">
                  <c:v>7</c:v>
                </c:pt>
                <c:pt idx="105">
                  <c:v>2</c:v>
                </c:pt>
                <c:pt idx="106">
                  <c:v>8</c:v>
                </c:pt>
                <c:pt idx="107">
                  <c:v>4</c:v>
                </c:pt>
                <c:pt idx="108">
                  <c:v>3</c:v>
                </c:pt>
                <c:pt idx="109">
                  <c:v>6</c:v>
                </c:pt>
                <c:pt idx="110">
                  <c:v>3</c:v>
                </c:pt>
                <c:pt idx="111">
                  <c:v>4</c:v>
                </c:pt>
                <c:pt idx="112">
                  <c:v>10</c:v>
                </c:pt>
                <c:pt idx="113">
                  <c:v>10</c:v>
                </c:pt>
                <c:pt idx="114">
                  <c:v>9</c:v>
                </c:pt>
                <c:pt idx="115">
                  <c:v>2</c:v>
                </c:pt>
                <c:pt idx="116">
                  <c:v>4</c:v>
                </c:pt>
                <c:pt idx="117">
                  <c:v>4</c:v>
                </c:pt>
                <c:pt idx="118">
                  <c:v>2</c:v>
                </c:pt>
                <c:pt idx="119">
                  <c:v>8</c:v>
                </c:pt>
                <c:pt idx="120">
                  <c:v>2</c:v>
                </c:pt>
                <c:pt idx="121">
                  <c:v>7</c:v>
                </c:pt>
                <c:pt idx="122">
                  <c:v>5</c:v>
                </c:pt>
                <c:pt idx="123">
                  <c:v>7</c:v>
                </c:pt>
                <c:pt idx="124">
                  <c:v>1</c:v>
                </c:pt>
                <c:pt idx="125">
                  <c:v>6</c:v>
                </c:pt>
                <c:pt idx="126">
                  <c:v>10</c:v>
                </c:pt>
                <c:pt idx="127">
                  <c:v>8</c:v>
                </c:pt>
                <c:pt idx="128">
                  <c:v>8</c:v>
                </c:pt>
                <c:pt idx="129">
                  <c:v>6</c:v>
                </c:pt>
                <c:pt idx="130">
                  <c:v>5</c:v>
                </c:pt>
                <c:pt idx="131">
                  <c:v>10</c:v>
                </c:pt>
                <c:pt idx="132">
                  <c:v>7</c:v>
                </c:pt>
                <c:pt idx="133">
                  <c:v>10</c:v>
                </c:pt>
                <c:pt idx="134">
                  <c:v>6</c:v>
                </c:pt>
                <c:pt idx="135">
                  <c:v>9</c:v>
                </c:pt>
                <c:pt idx="136">
                  <c:v>5</c:v>
                </c:pt>
                <c:pt idx="137">
                  <c:v>8</c:v>
                </c:pt>
                <c:pt idx="138">
                  <c:v>7</c:v>
                </c:pt>
                <c:pt idx="139">
                  <c:v>9</c:v>
                </c:pt>
                <c:pt idx="140">
                  <c:v>6</c:v>
                </c:pt>
                <c:pt idx="141">
                  <c:v>6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5">
                  <c:v>3</c:v>
                </c:pt>
                <c:pt idx="146">
                  <c:v>6</c:v>
                </c:pt>
                <c:pt idx="147">
                  <c:v>2</c:v>
                </c:pt>
                <c:pt idx="148">
                  <c:v>4</c:v>
                </c:pt>
                <c:pt idx="149">
                  <c:v>8</c:v>
                </c:pt>
                <c:pt idx="150">
                  <c:v>9</c:v>
                </c:pt>
                <c:pt idx="151">
                  <c:v>7</c:v>
                </c:pt>
                <c:pt idx="152">
                  <c:v>4</c:v>
                </c:pt>
                <c:pt idx="153">
                  <c:v>5</c:v>
                </c:pt>
                <c:pt idx="154">
                  <c:v>4</c:v>
                </c:pt>
                <c:pt idx="155">
                  <c:v>2</c:v>
                </c:pt>
                <c:pt idx="156">
                  <c:v>2</c:v>
                </c:pt>
                <c:pt idx="157">
                  <c:v>7</c:v>
                </c:pt>
                <c:pt idx="158">
                  <c:v>10</c:v>
                </c:pt>
                <c:pt idx="159">
                  <c:v>3</c:v>
                </c:pt>
                <c:pt idx="160">
                  <c:v>9</c:v>
                </c:pt>
                <c:pt idx="161">
                  <c:v>6</c:v>
                </c:pt>
                <c:pt idx="162">
                  <c:v>10</c:v>
                </c:pt>
                <c:pt idx="163">
                  <c:v>4</c:v>
                </c:pt>
                <c:pt idx="164">
                  <c:v>5</c:v>
                </c:pt>
                <c:pt idx="165">
                  <c:v>7</c:v>
                </c:pt>
                <c:pt idx="166">
                  <c:v>8</c:v>
                </c:pt>
                <c:pt idx="167">
                  <c:v>10</c:v>
                </c:pt>
                <c:pt idx="168">
                  <c:v>4</c:v>
                </c:pt>
                <c:pt idx="169">
                  <c:v>3</c:v>
                </c:pt>
                <c:pt idx="170">
                  <c:v>1</c:v>
                </c:pt>
                <c:pt idx="171">
                  <c:v>2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4</c:v>
                </c:pt>
                <c:pt idx="176">
                  <c:v>2</c:v>
                </c:pt>
                <c:pt idx="177">
                  <c:v>3</c:v>
                </c:pt>
                <c:pt idx="178">
                  <c:v>5</c:v>
                </c:pt>
                <c:pt idx="179">
                  <c:v>8</c:v>
                </c:pt>
                <c:pt idx="180">
                  <c:v>7</c:v>
                </c:pt>
                <c:pt idx="181">
                  <c:v>8</c:v>
                </c:pt>
                <c:pt idx="182">
                  <c:v>2</c:v>
                </c:pt>
                <c:pt idx="183">
                  <c:v>5</c:v>
                </c:pt>
                <c:pt idx="184">
                  <c:v>3</c:v>
                </c:pt>
                <c:pt idx="185">
                  <c:v>1</c:v>
                </c:pt>
                <c:pt idx="186">
                  <c:v>9</c:v>
                </c:pt>
                <c:pt idx="187">
                  <c:v>3</c:v>
                </c:pt>
                <c:pt idx="188">
                  <c:v>5</c:v>
                </c:pt>
                <c:pt idx="189">
                  <c:v>10</c:v>
                </c:pt>
                <c:pt idx="190">
                  <c:v>4</c:v>
                </c:pt>
                <c:pt idx="191">
                  <c:v>6</c:v>
                </c:pt>
                <c:pt idx="192">
                  <c:v>8</c:v>
                </c:pt>
                <c:pt idx="193">
                  <c:v>4</c:v>
                </c:pt>
                <c:pt idx="194">
                  <c:v>8</c:v>
                </c:pt>
                <c:pt idx="195">
                  <c:v>1</c:v>
                </c:pt>
                <c:pt idx="196">
                  <c:v>8</c:v>
                </c:pt>
                <c:pt idx="197">
                  <c:v>1</c:v>
                </c:pt>
                <c:pt idx="198">
                  <c:v>8</c:v>
                </c:pt>
                <c:pt idx="199">
                  <c:v>7</c:v>
                </c:pt>
                <c:pt idx="200">
                  <c:v>4</c:v>
                </c:pt>
                <c:pt idx="201">
                  <c:v>8</c:v>
                </c:pt>
                <c:pt idx="202">
                  <c:v>3</c:v>
                </c:pt>
                <c:pt idx="203">
                  <c:v>9</c:v>
                </c:pt>
                <c:pt idx="204">
                  <c:v>1</c:v>
                </c:pt>
                <c:pt idx="205">
                  <c:v>4</c:v>
                </c:pt>
                <c:pt idx="206">
                  <c:v>8</c:v>
                </c:pt>
                <c:pt idx="207">
                  <c:v>6</c:v>
                </c:pt>
                <c:pt idx="208">
                  <c:v>10</c:v>
                </c:pt>
                <c:pt idx="209">
                  <c:v>3</c:v>
                </c:pt>
                <c:pt idx="210">
                  <c:v>1</c:v>
                </c:pt>
                <c:pt idx="211">
                  <c:v>6</c:v>
                </c:pt>
                <c:pt idx="212">
                  <c:v>9</c:v>
                </c:pt>
                <c:pt idx="213">
                  <c:v>1</c:v>
                </c:pt>
                <c:pt idx="214">
                  <c:v>5</c:v>
                </c:pt>
                <c:pt idx="215">
                  <c:v>4</c:v>
                </c:pt>
                <c:pt idx="216">
                  <c:v>6</c:v>
                </c:pt>
                <c:pt idx="217">
                  <c:v>4</c:v>
                </c:pt>
                <c:pt idx="218">
                  <c:v>1</c:v>
                </c:pt>
                <c:pt idx="219">
                  <c:v>2</c:v>
                </c:pt>
                <c:pt idx="220">
                  <c:v>10</c:v>
                </c:pt>
                <c:pt idx="221">
                  <c:v>8</c:v>
                </c:pt>
                <c:pt idx="222">
                  <c:v>8</c:v>
                </c:pt>
                <c:pt idx="223">
                  <c:v>1</c:v>
                </c:pt>
                <c:pt idx="224">
                  <c:v>5</c:v>
                </c:pt>
                <c:pt idx="225">
                  <c:v>4</c:v>
                </c:pt>
                <c:pt idx="226">
                  <c:v>4</c:v>
                </c:pt>
                <c:pt idx="227">
                  <c:v>10</c:v>
                </c:pt>
                <c:pt idx="228">
                  <c:v>6</c:v>
                </c:pt>
                <c:pt idx="229">
                  <c:v>3</c:v>
                </c:pt>
                <c:pt idx="230">
                  <c:v>4</c:v>
                </c:pt>
                <c:pt idx="231">
                  <c:v>7</c:v>
                </c:pt>
                <c:pt idx="232">
                  <c:v>1</c:v>
                </c:pt>
                <c:pt idx="233">
                  <c:v>8</c:v>
                </c:pt>
                <c:pt idx="234">
                  <c:v>9</c:v>
                </c:pt>
                <c:pt idx="235">
                  <c:v>10</c:v>
                </c:pt>
                <c:pt idx="236">
                  <c:v>7</c:v>
                </c:pt>
                <c:pt idx="237">
                  <c:v>6</c:v>
                </c:pt>
                <c:pt idx="238">
                  <c:v>3</c:v>
                </c:pt>
                <c:pt idx="239">
                  <c:v>4</c:v>
                </c:pt>
                <c:pt idx="240">
                  <c:v>8</c:v>
                </c:pt>
                <c:pt idx="241">
                  <c:v>7</c:v>
                </c:pt>
                <c:pt idx="242">
                  <c:v>10</c:v>
                </c:pt>
                <c:pt idx="243">
                  <c:v>7</c:v>
                </c:pt>
                <c:pt idx="244">
                  <c:v>4</c:v>
                </c:pt>
                <c:pt idx="245">
                  <c:v>6</c:v>
                </c:pt>
                <c:pt idx="246">
                  <c:v>3</c:v>
                </c:pt>
                <c:pt idx="247">
                  <c:v>10</c:v>
                </c:pt>
                <c:pt idx="248">
                  <c:v>7</c:v>
                </c:pt>
                <c:pt idx="249">
                  <c:v>7</c:v>
                </c:pt>
                <c:pt idx="250">
                  <c:v>2</c:v>
                </c:pt>
                <c:pt idx="251">
                  <c:v>2</c:v>
                </c:pt>
                <c:pt idx="252">
                  <c:v>4</c:v>
                </c:pt>
                <c:pt idx="253">
                  <c:v>6</c:v>
                </c:pt>
                <c:pt idx="254">
                  <c:v>1</c:v>
                </c:pt>
                <c:pt idx="255">
                  <c:v>1</c:v>
                </c:pt>
                <c:pt idx="256">
                  <c:v>7</c:v>
                </c:pt>
                <c:pt idx="257">
                  <c:v>8</c:v>
                </c:pt>
                <c:pt idx="258">
                  <c:v>3</c:v>
                </c:pt>
                <c:pt idx="259">
                  <c:v>5</c:v>
                </c:pt>
                <c:pt idx="260">
                  <c:v>6</c:v>
                </c:pt>
                <c:pt idx="261">
                  <c:v>4</c:v>
                </c:pt>
                <c:pt idx="262">
                  <c:v>9</c:v>
                </c:pt>
                <c:pt idx="263">
                  <c:v>10</c:v>
                </c:pt>
                <c:pt idx="264">
                  <c:v>8</c:v>
                </c:pt>
                <c:pt idx="265">
                  <c:v>4</c:v>
                </c:pt>
                <c:pt idx="266">
                  <c:v>5</c:v>
                </c:pt>
                <c:pt idx="267">
                  <c:v>7</c:v>
                </c:pt>
                <c:pt idx="268">
                  <c:v>5</c:v>
                </c:pt>
                <c:pt idx="269">
                  <c:v>3</c:v>
                </c:pt>
                <c:pt idx="270">
                  <c:v>7</c:v>
                </c:pt>
                <c:pt idx="271">
                  <c:v>5</c:v>
                </c:pt>
                <c:pt idx="272">
                  <c:v>5</c:v>
                </c:pt>
                <c:pt idx="273">
                  <c:v>8</c:v>
                </c:pt>
                <c:pt idx="274">
                  <c:v>9</c:v>
                </c:pt>
                <c:pt idx="275">
                  <c:v>2</c:v>
                </c:pt>
                <c:pt idx="276">
                  <c:v>7</c:v>
                </c:pt>
                <c:pt idx="277">
                  <c:v>4</c:v>
                </c:pt>
                <c:pt idx="278">
                  <c:v>3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9</c:v>
                </c:pt>
                <c:pt idx="283">
                  <c:v>2</c:v>
                </c:pt>
                <c:pt idx="284">
                  <c:v>2</c:v>
                </c:pt>
                <c:pt idx="285">
                  <c:v>3</c:v>
                </c:pt>
                <c:pt idx="286">
                  <c:v>9</c:v>
                </c:pt>
                <c:pt idx="287">
                  <c:v>2</c:v>
                </c:pt>
                <c:pt idx="288">
                  <c:v>7</c:v>
                </c:pt>
                <c:pt idx="289">
                  <c:v>6</c:v>
                </c:pt>
                <c:pt idx="290">
                  <c:v>6</c:v>
                </c:pt>
                <c:pt idx="291">
                  <c:v>5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1</c:v>
                </c:pt>
                <c:pt idx="296">
                  <c:v>4</c:v>
                </c:pt>
                <c:pt idx="297">
                  <c:v>4</c:v>
                </c:pt>
                <c:pt idx="298">
                  <c:v>6</c:v>
                </c:pt>
                <c:pt idx="299">
                  <c:v>5</c:v>
                </c:pt>
                <c:pt idx="300">
                  <c:v>7</c:v>
                </c:pt>
                <c:pt idx="301">
                  <c:v>6</c:v>
                </c:pt>
                <c:pt idx="302">
                  <c:v>7</c:v>
                </c:pt>
                <c:pt idx="303">
                  <c:v>5</c:v>
                </c:pt>
                <c:pt idx="304">
                  <c:v>1</c:v>
                </c:pt>
                <c:pt idx="305">
                  <c:v>4</c:v>
                </c:pt>
                <c:pt idx="306">
                  <c:v>7</c:v>
                </c:pt>
                <c:pt idx="307">
                  <c:v>3</c:v>
                </c:pt>
                <c:pt idx="308">
                  <c:v>4</c:v>
                </c:pt>
                <c:pt idx="309">
                  <c:v>4</c:v>
                </c:pt>
                <c:pt idx="310">
                  <c:v>8</c:v>
                </c:pt>
                <c:pt idx="311">
                  <c:v>6</c:v>
                </c:pt>
                <c:pt idx="312">
                  <c:v>8</c:v>
                </c:pt>
                <c:pt idx="313">
                  <c:v>8</c:v>
                </c:pt>
                <c:pt idx="314">
                  <c:v>5</c:v>
                </c:pt>
                <c:pt idx="315">
                  <c:v>4</c:v>
                </c:pt>
                <c:pt idx="316">
                  <c:v>2</c:v>
                </c:pt>
                <c:pt idx="317">
                  <c:v>3</c:v>
                </c:pt>
                <c:pt idx="318">
                  <c:v>9</c:v>
                </c:pt>
                <c:pt idx="319">
                  <c:v>6</c:v>
                </c:pt>
                <c:pt idx="320">
                  <c:v>10</c:v>
                </c:pt>
                <c:pt idx="321">
                  <c:v>4</c:v>
                </c:pt>
                <c:pt idx="322">
                  <c:v>4</c:v>
                </c:pt>
                <c:pt idx="323">
                  <c:v>8</c:v>
                </c:pt>
                <c:pt idx="324">
                  <c:v>1</c:v>
                </c:pt>
                <c:pt idx="325">
                  <c:v>5</c:v>
                </c:pt>
                <c:pt idx="326">
                  <c:v>10</c:v>
                </c:pt>
                <c:pt idx="327">
                  <c:v>9</c:v>
                </c:pt>
                <c:pt idx="328">
                  <c:v>7</c:v>
                </c:pt>
                <c:pt idx="329">
                  <c:v>8</c:v>
                </c:pt>
                <c:pt idx="330">
                  <c:v>4</c:v>
                </c:pt>
                <c:pt idx="331">
                  <c:v>6</c:v>
                </c:pt>
                <c:pt idx="332">
                  <c:v>5</c:v>
                </c:pt>
                <c:pt idx="333">
                  <c:v>2</c:v>
                </c:pt>
                <c:pt idx="334">
                  <c:v>5</c:v>
                </c:pt>
                <c:pt idx="335">
                  <c:v>10</c:v>
                </c:pt>
                <c:pt idx="336">
                  <c:v>5</c:v>
                </c:pt>
                <c:pt idx="337">
                  <c:v>6</c:v>
                </c:pt>
                <c:pt idx="338">
                  <c:v>9</c:v>
                </c:pt>
                <c:pt idx="339">
                  <c:v>4</c:v>
                </c:pt>
                <c:pt idx="340">
                  <c:v>3</c:v>
                </c:pt>
                <c:pt idx="341">
                  <c:v>10</c:v>
                </c:pt>
                <c:pt idx="342">
                  <c:v>5</c:v>
                </c:pt>
                <c:pt idx="343">
                  <c:v>6</c:v>
                </c:pt>
                <c:pt idx="344">
                  <c:v>9</c:v>
                </c:pt>
                <c:pt idx="345">
                  <c:v>1</c:v>
                </c:pt>
                <c:pt idx="346">
                  <c:v>2</c:v>
                </c:pt>
                <c:pt idx="347">
                  <c:v>2</c:v>
                </c:pt>
                <c:pt idx="348">
                  <c:v>8</c:v>
                </c:pt>
                <c:pt idx="349">
                  <c:v>3</c:v>
                </c:pt>
                <c:pt idx="350">
                  <c:v>4</c:v>
                </c:pt>
                <c:pt idx="351">
                  <c:v>1</c:v>
                </c:pt>
                <c:pt idx="352">
                  <c:v>5</c:v>
                </c:pt>
                <c:pt idx="353">
                  <c:v>5</c:v>
                </c:pt>
                <c:pt idx="354">
                  <c:v>1</c:v>
                </c:pt>
                <c:pt idx="355">
                  <c:v>6</c:v>
                </c:pt>
                <c:pt idx="356">
                  <c:v>4</c:v>
                </c:pt>
                <c:pt idx="357">
                  <c:v>5</c:v>
                </c:pt>
                <c:pt idx="358">
                  <c:v>7</c:v>
                </c:pt>
                <c:pt idx="359">
                  <c:v>6</c:v>
                </c:pt>
                <c:pt idx="360">
                  <c:v>10</c:v>
                </c:pt>
                <c:pt idx="361">
                  <c:v>5</c:v>
                </c:pt>
                <c:pt idx="362">
                  <c:v>7</c:v>
                </c:pt>
                <c:pt idx="363">
                  <c:v>1</c:v>
                </c:pt>
                <c:pt idx="364">
                  <c:v>10</c:v>
                </c:pt>
                <c:pt idx="365">
                  <c:v>8</c:v>
                </c:pt>
                <c:pt idx="366">
                  <c:v>3</c:v>
                </c:pt>
                <c:pt idx="367">
                  <c:v>2</c:v>
                </c:pt>
                <c:pt idx="368">
                  <c:v>10</c:v>
                </c:pt>
                <c:pt idx="369">
                  <c:v>1</c:v>
                </c:pt>
                <c:pt idx="370">
                  <c:v>2</c:v>
                </c:pt>
                <c:pt idx="371">
                  <c:v>4</c:v>
                </c:pt>
                <c:pt idx="372">
                  <c:v>4</c:v>
                </c:pt>
                <c:pt idx="373">
                  <c:v>2</c:v>
                </c:pt>
                <c:pt idx="374">
                  <c:v>3</c:v>
                </c:pt>
                <c:pt idx="375">
                  <c:v>8</c:v>
                </c:pt>
                <c:pt idx="376">
                  <c:v>5</c:v>
                </c:pt>
                <c:pt idx="377">
                  <c:v>7</c:v>
                </c:pt>
                <c:pt idx="378">
                  <c:v>6</c:v>
                </c:pt>
                <c:pt idx="379">
                  <c:v>9</c:v>
                </c:pt>
                <c:pt idx="380">
                  <c:v>7</c:v>
                </c:pt>
                <c:pt idx="381">
                  <c:v>7</c:v>
                </c:pt>
                <c:pt idx="382">
                  <c:v>10</c:v>
                </c:pt>
                <c:pt idx="383">
                  <c:v>10</c:v>
                </c:pt>
                <c:pt idx="384">
                  <c:v>8</c:v>
                </c:pt>
                <c:pt idx="385">
                  <c:v>1</c:v>
                </c:pt>
                <c:pt idx="386">
                  <c:v>9</c:v>
                </c:pt>
                <c:pt idx="387">
                  <c:v>6</c:v>
                </c:pt>
                <c:pt idx="388">
                  <c:v>1</c:v>
                </c:pt>
                <c:pt idx="389">
                  <c:v>5</c:v>
                </c:pt>
                <c:pt idx="390">
                  <c:v>1</c:v>
                </c:pt>
                <c:pt idx="391">
                  <c:v>3</c:v>
                </c:pt>
                <c:pt idx="392">
                  <c:v>5</c:v>
                </c:pt>
                <c:pt idx="393">
                  <c:v>8</c:v>
                </c:pt>
                <c:pt idx="394">
                  <c:v>4</c:v>
                </c:pt>
                <c:pt idx="395">
                  <c:v>5</c:v>
                </c:pt>
                <c:pt idx="396">
                  <c:v>9</c:v>
                </c:pt>
                <c:pt idx="397">
                  <c:v>4</c:v>
                </c:pt>
                <c:pt idx="398">
                  <c:v>3</c:v>
                </c:pt>
                <c:pt idx="399">
                  <c:v>2</c:v>
                </c:pt>
                <c:pt idx="400">
                  <c:v>5</c:v>
                </c:pt>
                <c:pt idx="401">
                  <c:v>7</c:v>
                </c:pt>
                <c:pt idx="402">
                  <c:v>1</c:v>
                </c:pt>
                <c:pt idx="403">
                  <c:v>2</c:v>
                </c:pt>
                <c:pt idx="404">
                  <c:v>2</c:v>
                </c:pt>
                <c:pt idx="405">
                  <c:v>3</c:v>
                </c:pt>
                <c:pt idx="406">
                  <c:v>1</c:v>
                </c:pt>
                <c:pt idx="407">
                  <c:v>5</c:v>
                </c:pt>
                <c:pt idx="408">
                  <c:v>5</c:v>
                </c:pt>
                <c:pt idx="409">
                  <c:v>4</c:v>
                </c:pt>
                <c:pt idx="410">
                  <c:v>10</c:v>
                </c:pt>
                <c:pt idx="411">
                  <c:v>4</c:v>
                </c:pt>
                <c:pt idx="412">
                  <c:v>10</c:v>
                </c:pt>
                <c:pt idx="413">
                  <c:v>6</c:v>
                </c:pt>
                <c:pt idx="414">
                  <c:v>3</c:v>
                </c:pt>
                <c:pt idx="415">
                  <c:v>6</c:v>
                </c:pt>
                <c:pt idx="416">
                  <c:v>8</c:v>
                </c:pt>
                <c:pt idx="417">
                  <c:v>2</c:v>
                </c:pt>
                <c:pt idx="418">
                  <c:v>2</c:v>
                </c:pt>
                <c:pt idx="419">
                  <c:v>5</c:v>
                </c:pt>
                <c:pt idx="420">
                  <c:v>2</c:v>
                </c:pt>
                <c:pt idx="421">
                  <c:v>9</c:v>
                </c:pt>
                <c:pt idx="422">
                  <c:v>10</c:v>
                </c:pt>
                <c:pt idx="423">
                  <c:v>1</c:v>
                </c:pt>
                <c:pt idx="424">
                  <c:v>8</c:v>
                </c:pt>
                <c:pt idx="425">
                  <c:v>3</c:v>
                </c:pt>
                <c:pt idx="426">
                  <c:v>6</c:v>
                </c:pt>
                <c:pt idx="427">
                  <c:v>6</c:v>
                </c:pt>
                <c:pt idx="428">
                  <c:v>9</c:v>
                </c:pt>
                <c:pt idx="429">
                  <c:v>9</c:v>
                </c:pt>
                <c:pt idx="430">
                  <c:v>6</c:v>
                </c:pt>
                <c:pt idx="431">
                  <c:v>2</c:v>
                </c:pt>
                <c:pt idx="432">
                  <c:v>10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9</c:v>
                </c:pt>
                <c:pt idx="437">
                  <c:v>8</c:v>
                </c:pt>
                <c:pt idx="438">
                  <c:v>2</c:v>
                </c:pt>
                <c:pt idx="439">
                  <c:v>1</c:v>
                </c:pt>
                <c:pt idx="440">
                  <c:v>5</c:v>
                </c:pt>
                <c:pt idx="441">
                  <c:v>7</c:v>
                </c:pt>
                <c:pt idx="442">
                  <c:v>3</c:v>
                </c:pt>
                <c:pt idx="443">
                  <c:v>5</c:v>
                </c:pt>
                <c:pt idx="444">
                  <c:v>2</c:v>
                </c:pt>
                <c:pt idx="445">
                  <c:v>9</c:v>
                </c:pt>
                <c:pt idx="446">
                  <c:v>4</c:v>
                </c:pt>
                <c:pt idx="447">
                  <c:v>5</c:v>
                </c:pt>
                <c:pt idx="448">
                  <c:v>10</c:v>
                </c:pt>
                <c:pt idx="449">
                  <c:v>8</c:v>
                </c:pt>
                <c:pt idx="450">
                  <c:v>7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8</c:v>
                </c:pt>
                <c:pt idx="455">
                  <c:v>2</c:v>
                </c:pt>
                <c:pt idx="456">
                  <c:v>10</c:v>
                </c:pt>
                <c:pt idx="457">
                  <c:v>9</c:v>
                </c:pt>
                <c:pt idx="458">
                  <c:v>4</c:v>
                </c:pt>
                <c:pt idx="459">
                  <c:v>10</c:v>
                </c:pt>
                <c:pt idx="460">
                  <c:v>1</c:v>
                </c:pt>
                <c:pt idx="461">
                  <c:v>6</c:v>
                </c:pt>
                <c:pt idx="462">
                  <c:v>10</c:v>
                </c:pt>
                <c:pt idx="463">
                  <c:v>3</c:v>
                </c:pt>
                <c:pt idx="464">
                  <c:v>9</c:v>
                </c:pt>
                <c:pt idx="465">
                  <c:v>6</c:v>
                </c:pt>
                <c:pt idx="466">
                  <c:v>8</c:v>
                </c:pt>
                <c:pt idx="467">
                  <c:v>9</c:v>
                </c:pt>
                <c:pt idx="468">
                  <c:v>6</c:v>
                </c:pt>
                <c:pt idx="469">
                  <c:v>4</c:v>
                </c:pt>
                <c:pt idx="470">
                  <c:v>7</c:v>
                </c:pt>
                <c:pt idx="471">
                  <c:v>10</c:v>
                </c:pt>
                <c:pt idx="472">
                  <c:v>2</c:v>
                </c:pt>
                <c:pt idx="473">
                  <c:v>5</c:v>
                </c:pt>
                <c:pt idx="474">
                  <c:v>10</c:v>
                </c:pt>
                <c:pt idx="475">
                  <c:v>6</c:v>
                </c:pt>
                <c:pt idx="476">
                  <c:v>2</c:v>
                </c:pt>
                <c:pt idx="477">
                  <c:v>2</c:v>
                </c:pt>
                <c:pt idx="478">
                  <c:v>8</c:v>
                </c:pt>
                <c:pt idx="479">
                  <c:v>3</c:v>
                </c:pt>
                <c:pt idx="480">
                  <c:v>2</c:v>
                </c:pt>
                <c:pt idx="481">
                  <c:v>4</c:v>
                </c:pt>
                <c:pt idx="482">
                  <c:v>10</c:v>
                </c:pt>
                <c:pt idx="483">
                  <c:v>9</c:v>
                </c:pt>
                <c:pt idx="484">
                  <c:v>8</c:v>
                </c:pt>
                <c:pt idx="485">
                  <c:v>9</c:v>
                </c:pt>
                <c:pt idx="486">
                  <c:v>6</c:v>
                </c:pt>
                <c:pt idx="487">
                  <c:v>9</c:v>
                </c:pt>
                <c:pt idx="488">
                  <c:v>5</c:v>
                </c:pt>
                <c:pt idx="489">
                  <c:v>9</c:v>
                </c:pt>
                <c:pt idx="490">
                  <c:v>9</c:v>
                </c:pt>
                <c:pt idx="491">
                  <c:v>3</c:v>
                </c:pt>
                <c:pt idx="492">
                  <c:v>3</c:v>
                </c:pt>
                <c:pt idx="493">
                  <c:v>5</c:v>
                </c:pt>
                <c:pt idx="494">
                  <c:v>1</c:v>
                </c:pt>
                <c:pt idx="495">
                  <c:v>8</c:v>
                </c:pt>
                <c:pt idx="496">
                  <c:v>2</c:v>
                </c:pt>
                <c:pt idx="497">
                  <c:v>3</c:v>
                </c:pt>
                <c:pt idx="498">
                  <c:v>9</c:v>
                </c:pt>
                <c:pt idx="499">
                  <c:v>10</c:v>
                </c:pt>
                <c:pt idx="500">
                  <c:v>2</c:v>
                </c:pt>
                <c:pt idx="501">
                  <c:v>4</c:v>
                </c:pt>
                <c:pt idx="502">
                  <c:v>1</c:v>
                </c:pt>
                <c:pt idx="503">
                  <c:v>1</c:v>
                </c:pt>
                <c:pt idx="504">
                  <c:v>3</c:v>
                </c:pt>
                <c:pt idx="505">
                  <c:v>10</c:v>
                </c:pt>
                <c:pt idx="506">
                  <c:v>3</c:v>
                </c:pt>
                <c:pt idx="507">
                  <c:v>9</c:v>
                </c:pt>
                <c:pt idx="508">
                  <c:v>10</c:v>
                </c:pt>
                <c:pt idx="509">
                  <c:v>10</c:v>
                </c:pt>
                <c:pt idx="510">
                  <c:v>7</c:v>
                </c:pt>
                <c:pt idx="511">
                  <c:v>4</c:v>
                </c:pt>
                <c:pt idx="512">
                  <c:v>1</c:v>
                </c:pt>
                <c:pt idx="513">
                  <c:v>6</c:v>
                </c:pt>
                <c:pt idx="514">
                  <c:v>1</c:v>
                </c:pt>
                <c:pt idx="515">
                  <c:v>6</c:v>
                </c:pt>
                <c:pt idx="516">
                  <c:v>7</c:v>
                </c:pt>
                <c:pt idx="517">
                  <c:v>3</c:v>
                </c:pt>
                <c:pt idx="518">
                  <c:v>2</c:v>
                </c:pt>
                <c:pt idx="519">
                  <c:v>9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7</c:v>
                </c:pt>
                <c:pt idx="524">
                  <c:v>2</c:v>
                </c:pt>
                <c:pt idx="525">
                  <c:v>8</c:v>
                </c:pt>
                <c:pt idx="526">
                  <c:v>7</c:v>
                </c:pt>
                <c:pt idx="527">
                  <c:v>6</c:v>
                </c:pt>
                <c:pt idx="528">
                  <c:v>9</c:v>
                </c:pt>
                <c:pt idx="529">
                  <c:v>1</c:v>
                </c:pt>
                <c:pt idx="530">
                  <c:v>3</c:v>
                </c:pt>
                <c:pt idx="531">
                  <c:v>8</c:v>
                </c:pt>
                <c:pt idx="532">
                  <c:v>5</c:v>
                </c:pt>
                <c:pt idx="533">
                  <c:v>5</c:v>
                </c:pt>
                <c:pt idx="534">
                  <c:v>2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9</c:v>
                </c:pt>
                <c:pt idx="540">
                  <c:v>7</c:v>
                </c:pt>
                <c:pt idx="541">
                  <c:v>6</c:v>
                </c:pt>
                <c:pt idx="542">
                  <c:v>4</c:v>
                </c:pt>
                <c:pt idx="543">
                  <c:v>1</c:v>
                </c:pt>
                <c:pt idx="544">
                  <c:v>7</c:v>
                </c:pt>
                <c:pt idx="545">
                  <c:v>9</c:v>
                </c:pt>
                <c:pt idx="546">
                  <c:v>9</c:v>
                </c:pt>
                <c:pt idx="547">
                  <c:v>8</c:v>
                </c:pt>
                <c:pt idx="548">
                  <c:v>5</c:v>
                </c:pt>
                <c:pt idx="549">
                  <c:v>2</c:v>
                </c:pt>
                <c:pt idx="550">
                  <c:v>2</c:v>
                </c:pt>
                <c:pt idx="551">
                  <c:v>5</c:v>
                </c:pt>
                <c:pt idx="552">
                  <c:v>9</c:v>
                </c:pt>
                <c:pt idx="553">
                  <c:v>4</c:v>
                </c:pt>
                <c:pt idx="554">
                  <c:v>6</c:v>
                </c:pt>
                <c:pt idx="555">
                  <c:v>8</c:v>
                </c:pt>
                <c:pt idx="556">
                  <c:v>7</c:v>
                </c:pt>
                <c:pt idx="557">
                  <c:v>2</c:v>
                </c:pt>
                <c:pt idx="558">
                  <c:v>10</c:v>
                </c:pt>
                <c:pt idx="559">
                  <c:v>5</c:v>
                </c:pt>
                <c:pt idx="560">
                  <c:v>1</c:v>
                </c:pt>
                <c:pt idx="561">
                  <c:v>4</c:v>
                </c:pt>
                <c:pt idx="562">
                  <c:v>3</c:v>
                </c:pt>
                <c:pt idx="563">
                  <c:v>10</c:v>
                </c:pt>
                <c:pt idx="564">
                  <c:v>6</c:v>
                </c:pt>
                <c:pt idx="565">
                  <c:v>10</c:v>
                </c:pt>
                <c:pt idx="566">
                  <c:v>8</c:v>
                </c:pt>
                <c:pt idx="567">
                  <c:v>10</c:v>
                </c:pt>
                <c:pt idx="568">
                  <c:v>3</c:v>
                </c:pt>
                <c:pt idx="569">
                  <c:v>4</c:v>
                </c:pt>
                <c:pt idx="570">
                  <c:v>9</c:v>
                </c:pt>
                <c:pt idx="571">
                  <c:v>2</c:v>
                </c:pt>
                <c:pt idx="572">
                  <c:v>6</c:v>
                </c:pt>
                <c:pt idx="573">
                  <c:v>4</c:v>
                </c:pt>
                <c:pt idx="574">
                  <c:v>6</c:v>
                </c:pt>
                <c:pt idx="575">
                  <c:v>7</c:v>
                </c:pt>
                <c:pt idx="576">
                  <c:v>5</c:v>
                </c:pt>
                <c:pt idx="577">
                  <c:v>5</c:v>
                </c:pt>
                <c:pt idx="578">
                  <c:v>10</c:v>
                </c:pt>
                <c:pt idx="579">
                  <c:v>8</c:v>
                </c:pt>
                <c:pt idx="580">
                  <c:v>4</c:v>
                </c:pt>
                <c:pt idx="581">
                  <c:v>3</c:v>
                </c:pt>
                <c:pt idx="582">
                  <c:v>5</c:v>
                </c:pt>
                <c:pt idx="583">
                  <c:v>5</c:v>
                </c:pt>
                <c:pt idx="584">
                  <c:v>7</c:v>
                </c:pt>
                <c:pt idx="585">
                  <c:v>2</c:v>
                </c:pt>
                <c:pt idx="586">
                  <c:v>2</c:v>
                </c:pt>
                <c:pt idx="587">
                  <c:v>6</c:v>
                </c:pt>
                <c:pt idx="588">
                  <c:v>1</c:v>
                </c:pt>
                <c:pt idx="589">
                  <c:v>2</c:v>
                </c:pt>
                <c:pt idx="590">
                  <c:v>3</c:v>
                </c:pt>
                <c:pt idx="591">
                  <c:v>2</c:v>
                </c:pt>
                <c:pt idx="592">
                  <c:v>2</c:v>
                </c:pt>
                <c:pt idx="593">
                  <c:v>4</c:v>
                </c:pt>
                <c:pt idx="594">
                  <c:v>1</c:v>
                </c:pt>
                <c:pt idx="595">
                  <c:v>9</c:v>
                </c:pt>
                <c:pt idx="596">
                  <c:v>10</c:v>
                </c:pt>
                <c:pt idx="597">
                  <c:v>8</c:v>
                </c:pt>
                <c:pt idx="598">
                  <c:v>7</c:v>
                </c:pt>
                <c:pt idx="599">
                  <c:v>5</c:v>
                </c:pt>
                <c:pt idx="600">
                  <c:v>9</c:v>
                </c:pt>
                <c:pt idx="601">
                  <c:v>2</c:v>
                </c:pt>
                <c:pt idx="602">
                  <c:v>4</c:v>
                </c:pt>
                <c:pt idx="603">
                  <c:v>8</c:v>
                </c:pt>
                <c:pt idx="604">
                  <c:v>2</c:v>
                </c:pt>
                <c:pt idx="605">
                  <c:v>6</c:v>
                </c:pt>
                <c:pt idx="606">
                  <c:v>8</c:v>
                </c:pt>
                <c:pt idx="607">
                  <c:v>4</c:v>
                </c:pt>
                <c:pt idx="608">
                  <c:v>5</c:v>
                </c:pt>
                <c:pt idx="609">
                  <c:v>7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9</c:v>
                </c:pt>
                <c:pt idx="614">
                  <c:v>3</c:v>
                </c:pt>
                <c:pt idx="615">
                  <c:v>9</c:v>
                </c:pt>
                <c:pt idx="616">
                  <c:v>2</c:v>
                </c:pt>
                <c:pt idx="617">
                  <c:v>2</c:v>
                </c:pt>
                <c:pt idx="618">
                  <c:v>4</c:v>
                </c:pt>
                <c:pt idx="619">
                  <c:v>2</c:v>
                </c:pt>
                <c:pt idx="620">
                  <c:v>4</c:v>
                </c:pt>
                <c:pt idx="621">
                  <c:v>7</c:v>
                </c:pt>
                <c:pt idx="622">
                  <c:v>10</c:v>
                </c:pt>
                <c:pt idx="623">
                  <c:v>9</c:v>
                </c:pt>
                <c:pt idx="624">
                  <c:v>9</c:v>
                </c:pt>
                <c:pt idx="625">
                  <c:v>3</c:v>
                </c:pt>
                <c:pt idx="626">
                  <c:v>1</c:v>
                </c:pt>
                <c:pt idx="627">
                  <c:v>1</c:v>
                </c:pt>
                <c:pt idx="628">
                  <c:v>7</c:v>
                </c:pt>
                <c:pt idx="629">
                  <c:v>9</c:v>
                </c:pt>
                <c:pt idx="630">
                  <c:v>3</c:v>
                </c:pt>
                <c:pt idx="631">
                  <c:v>10</c:v>
                </c:pt>
                <c:pt idx="632">
                  <c:v>8</c:v>
                </c:pt>
                <c:pt idx="633">
                  <c:v>3</c:v>
                </c:pt>
                <c:pt idx="634">
                  <c:v>4</c:v>
                </c:pt>
                <c:pt idx="635">
                  <c:v>2</c:v>
                </c:pt>
                <c:pt idx="636">
                  <c:v>4</c:v>
                </c:pt>
                <c:pt idx="637">
                  <c:v>1</c:v>
                </c:pt>
                <c:pt idx="638">
                  <c:v>5</c:v>
                </c:pt>
                <c:pt idx="639">
                  <c:v>1</c:v>
                </c:pt>
                <c:pt idx="640">
                  <c:v>1</c:v>
                </c:pt>
                <c:pt idx="641">
                  <c:v>9</c:v>
                </c:pt>
                <c:pt idx="642">
                  <c:v>3</c:v>
                </c:pt>
                <c:pt idx="643">
                  <c:v>6</c:v>
                </c:pt>
                <c:pt idx="644">
                  <c:v>5</c:v>
                </c:pt>
                <c:pt idx="645">
                  <c:v>4</c:v>
                </c:pt>
                <c:pt idx="646">
                  <c:v>6</c:v>
                </c:pt>
                <c:pt idx="647">
                  <c:v>10</c:v>
                </c:pt>
                <c:pt idx="648">
                  <c:v>3</c:v>
                </c:pt>
                <c:pt idx="649">
                  <c:v>7</c:v>
                </c:pt>
                <c:pt idx="650">
                  <c:v>10</c:v>
                </c:pt>
                <c:pt idx="651">
                  <c:v>6</c:v>
                </c:pt>
                <c:pt idx="652">
                  <c:v>8</c:v>
                </c:pt>
                <c:pt idx="653">
                  <c:v>1</c:v>
                </c:pt>
                <c:pt idx="654">
                  <c:v>7</c:v>
                </c:pt>
                <c:pt idx="655">
                  <c:v>10</c:v>
                </c:pt>
                <c:pt idx="656">
                  <c:v>10</c:v>
                </c:pt>
                <c:pt idx="657">
                  <c:v>5</c:v>
                </c:pt>
                <c:pt idx="658">
                  <c:v>2</c:v>
                </c:pt>
                <c:pt idx="659">
                  <c:v>10</c:v>
                </c:pt>
                <c:pt idx="660">
                  <c:v>9</c:v>
                </c:pt>
                <c:pt idx="661">
                  <c:v>5</c:v>
                </c:pt>
                <c:pt idx="662">
                  <c:v>6</c:v>
                </c:pt>
                <c:pt idx="663">
                  <c:v>4</c:v>
                </c:pt>
                <c:pt idx="664">
                  <c:v>7</c:v>
                </c:pt>
                <c:pt idx="665">
                  <c:v>6</c:v>
                </c:pt>
                <c:pt idx="666">
                  <c:v>4</c:v>
                </c:pt>
                <c:pt idx="667">
                  <c:v>9</c:v>
                </c:pt>
                <c:pt idx="668">
                  <c:v>10</c:v>
                </c:pt>
                <c:pt idx="669">
                  <c:v>5</c:v>
                </c:pt>
                <c:pt idx="670">
                  <c:v>8</c:v>
                </c:pt>
                <c:pt idx="671">
                  <c:v>2</c:v>
                </c:pt>
                <c:pt idx="672">
                  <c:v>1</c:v>
                </c:pt>
                <c:pt idx="673">
                  <c:v>1</c:v>
                </c:pt>
                <c:pt idx="674">
                  <c:v>5</c:v>
                </c:pt>
                <c:pt idx="675">
                  <c:v>8</c:v>
                </c:pt>
                <c:pt idx="676">
                  <c:v>5</c:v>
                </c:pt>
                <c:pt idx="677">
                  <c:v>3</c:v>
                </c:pt>
                <c:pt idx="678">
                  <c:v>5</c:v>
                </c:pt>
                <c:pt idx="679">
                  <c:v>7</c:v>
                </c:pt>
                <c:pt idx="680">
                  <c:v>8</c:v>
                </c:pt>
                <c:pt idx="681">
                  <c:v>4</c:v>
                </c:pt>
                <c:pt idx="682">
                  <c:v>5</c:v>
                </c:pt>
                <c:pt idx="683">
                  <c:v>7</c:v>
                </c:pt>
                <c:pt idx="684">
                  <c:v>4</c:v>
                </c:pt>
                <c:pt idx="685">
                  <c:v>5</c:v>
                </c:pt>
                <c:pt idx="686">
                  <c:v>6</c:v>
                </c:pt>
                <c:pt idx="687">
                  <c:v>3</c:v>
                </c:pt>
                <c:pt idx="688">
                  <c:v>9</c:v>
                </c:pt>
                <c:pt idx="689">
                  <c:v>9</c:v>
                </c:pt>
                <c:pt idx="690">
                  <c:v>7</c:v>
                </c:pt>
                <c:pt idx="691">
                  <c:v>10</c:v>
                </c:pt>
                <c:pt idx="692">
                  <c:v>5</c:v>
                </c:pt>
                <c:pt idx="693">
                  <c:v>2</c:v>
                </c:pt>
                <c:pt idx="694">
                  <c:v>4</c:v>
                </c:pt>
                <c:pt idx="695">
                  <c:v>9</c:v>
                </c:pt>
                <c:pt idx="696">
                  <c:v>4</c:v>
                </c:pt>
                <c:pt idx="697">
                  <c:v>4</c:v>
                </c:pt>
                <c:pt idx="698">
                  <c:v>9</c:v>
                </c:pt>
                <c:pt idx="699">
                  <c:v>2</c:v>
                </c:pt>
                <c:pt idx="700">
                  <c:v>9</c:v>
                </c:pt>
                <c:pt idx="701">
                  <c:v>6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9</c:v>
                </c:pt>
                <c:pt idx="706">
                  <c:v>2</c:v>
                </c:pt>
                <c:pt idx="707">
                  <c:v>6</c:v>
                </c:pt>
                <c:pt idx="708">
                  <c:v>4</c:v>
                </c:pt>
                <c:pt idx="709">
                  <c:v>5</c:v>
                </c:pt>
                <c:pt idx="710">
                  <c:v>6</c:v>
                </c:pt>
                <c:pt idx="711">
                  <c:v>6</c:v>
                </c:pt>
                <c:pt idx="712">
                  <c:v>10</c:v>
                </c:pt>
                <c:pt idx="713">
                  <c:v>2</c:v>
                </c:pt>
                <c:pt idx="714">
                  <c:v>6</c:v>
                </c:pt>
                <c:pt idx="715">
                  <c:v>1</c:v>
                </c:pt>
                <c:pt idx="716">
                  <c:v>5</c:v>
                </c:pt>
                <c:pt idx="717">
                  <c:v>5</c:v>
                </c:pt>
                <c:pt idx="718">
                  <c:v>4</c:v>
                </c:pt>
                <c:pt idx="719">
                  <c:v>6</c:v>
                </c:pt>
                <c:pt idx="720">
                  <c:v>7</c:v>
                </c:pt>
                <c:pt idx="721">
                  <c:v>10</c:v>
                </c:pt>
                <c:pt idx="722">
                  <c:v>2</c:v>
                </c:pt>
                <c:pt idx="723">
                  <c:v>7</c:v>
                </c:pt>
                <c:pt idx="724">
                  <c:v>7</c:v>
                </c:pt>
                <c:pt idx="725">
                  <c:v>5</c:v>
                </c:pt>
                <c:pt idx="726">
                  <c:v>10</c:v>
                </c:pt>
                <c:pt idx="727">
                  <c:v>3</c:v>
                </c:pt>
                <c:pt idx="728">
                  <c:v>5</c:v>
                </c:pt>
                <c:pt idx="729">
                  <c:v>3</c:v>
                </c:pt>
                <c:pt idx="730">
                  <c:v>1</c:v>
                </c:pt>
                <c:pt idx="731">
                  <c:v>6</c:v>
                </c:pt>
                <c:pt idx="732">
                  <c:v>3</c:v>
                </c:pt>
                <c:pt idx="733">
                  <c:v>6</c:v>
                </c:pt>
                <c:pt idx="734">
                  <c:v>6</c:v>
                </c:pt>
                <c:pt idx="735">
                  <c:v>5</c:v>
                </c:pt>
                <c:pt idx="736">
                  <c:v>6</c:v>
                </c:pt>
                <c:pt idx="737">
                  <c:v>4</c:v>
                </c:pt>
                <c:pt idx="738">
                  <c:v>4</c:v>
                </c:pt>
                <c:pt idx="739">
                  <c:v>2</c:v>
                </c:pt>
                <c:pt idx="740">
                  <c:v>7</c:v>
                </c:pt>
                <c:pt idx="741">
                  <c:v>3</c:v>
                </c:pt>
                <c:pt idx="742">
                  <c:v>8</c:v>
                </c:pt>
                <c:pt idx="743">
                  <c:v>7</c:v>
                </c:pt>
                <c:pt idx="744">
                  <c:v>4</c:v>
                </c:pt>
                <c:pt idx="745">
                  <c:v>5</c:v>
                </c:pt>
                <c:pt idx="746">
                  <c:v>10</c:v>
                </c:pt>
                <c:pt idx="747">
                  <c:v>5</c:v>
                </c:pt>
                <c:pt idx="748">
                  <c:v>10</c:v>
                </c:pt>
                <c:pt idx="749">
                  <c:v>6</c:v>
                </c:pt>
                <c:pt idx="750">
                  <c:v>4</c:v>
                </c:pt>
                <c:pt idx="751">
                  <c:v>1</c:v>
                </c:pt>
                <c:pt idx="752">
                  <c:v>5</c:v>
                </c:pt>
                <c:pt idx="753">
                  <c:v>10</c:v>
                </c:pt>
                <c:pt idx="754">
                  <c:v>10</c:v>
                </c:pt>
                <c:pt idx="755">
                  <c:v>10</c:v>
                </c:pt>
                <c:pt idx="756">
                  <c:v>5</c:v>
                </c:pt>
                <c:pt idx="757">
                  <c:v>10</c:v>
                </c:pt>
                <c:pt idx="758">
                  <c:v>8</c:v>
                </c:pt>
                <c:pt idx="759">
                  <c:v>2</c:v>
                </c:pt>
                <c:pt idx="760">
                  <c:v>4</c:v>
                </c:pt>
                <c:pt idx="761">
                  <c:v>5</c:v>
                </c:pt>
                <c:pt idx="762">
                  <c:v>10</c:v>
                </c:pt>
                <c:pt idx="763">
                  <c:v>2</c:v>
                </c:pt>
                <c:pt idx="764">
                  <c:v>3</c:v>
                </c:pt>
                <c:pt idx="765">
                  <c:v>1</c:v>
                </c:pt>
                <c:pt idx="766">
                  <c:v>10</c:v>
                </c:pt>
                <c:pt idx="767">
                  <c:v>1</c:v>
                </c:pt>
                <c:pt idx="768">
                  <c:v>2</c:v>
                </c:pt>
                <c:pt idx="769">
                  <c:v>1</c:v>
                </c:pt>
                <c:pt idx="770">
                  <c:v>5</c:v>
                </c:pt>
                <c:pt idx="771">
                  <c:v>4</c:v>
                </c:pt>
                <c:pt idx="772">
                  <c:v>7</c:v>
                </c:pt>
                <c:pt idx="773">
                  <c:v>6</c:v>
                </c:pt>
                <c:pt idx="774">
                  <c:v>10</c:v>
                </c:pt>
                <c:pt idx="775">
                  <c:v>6</c:v>
                </c:pt>
                <c:pt idx="776">
                  <c:v>2</c:v>
                </c:pt>
                <c:pt idx="777">
                  <c:v>6</c:v>
                </c:pt>
                <c:pt idx="778">
                  <c:v>3</c:v>
                </c:pt>
                <c:pt idx="779">
                  <c:v>1</c:v>
                </c:pt>
                <c:pt idx="780">
                  <c:v>4</c:v>
                </c:pt>
                <c:pt idx="781">
                  <c:v>9</c:v>
                </c:pt>
                <c:pt idx="782">
                  <c:v>3</c:v>
                </c:pt>
                <c:pt idx="783">
                  <c:v>8</c:v>
                </c:pt>
                <c:pt idx="784">
                  <c:v>9</c:v>
                </c:pt>
                <c:pt idx="785">
                  <c:v>6</c:v>
                </c:pt>
                <c:pt idx="786">
                  <c:v>6</c:v>
                </c:pt>
                <c:pt idx="787">
                  <c:v>5</c:v>
                </c:pt>
                <c:pt idx="788">
                  <c:v>9</c:v>
                </c:pt>
                <c:pt idx="789">
                  <c:v>10</c:v>
                </c:pt>
                <c:pt idx="790">
                  <c:v>9</c:v>
                </c:pt>
                <c:pt idx="791">
                  <c:v>4</c:v>
                </c:pt>
                <c:pt idx="792">
                  <c:v>3</c:v>
                </c:pt>
                <c:pt idx="793">
                  <c:v>5</c:v>
                </c:pt>
                <c:pt idx="794">
                  <c:v>9</c:v>
                </c:pt>
                <c:pt idx="795">
                  <c:v>6</c:v>
                </c:pt>
                <c:pt idx="796">
                  <c:v>4</c:v>
                </c:pt>
                <c:pt idx="797">
                  <c:v>6</c:v>
                </c:pt>
                <c:pt idx="798">
                  <c:v>10</c:v>
                </c:pt>
                <c:pt idx="799">
                  <c:v>1</c:v>
                </c:pt>
                <c:pt idx="800">
                  <c:v>1</c:v>
                </c:pt>
                <c:pt idx="801">
                  <c:v>4</c:v>
                </c:pt>
                <c:pt idx="802">
                  <c:v>6</c:v>
                </c:pt>
                <c:pt idx="803">
                  <c:v>9</c:v>
                </c:pt>
                <c:pt idx="804">
                  <c:v>10</c:v>
                </c:pt>
                <c:pt idx="805">
                  <c:v>9</c:v>
                </c:pt>
                <c:pt idx="806">
                  <c:v>2</c:v>
                </c:pt>
                <c:pt idx="807">
                  <c:v>6</c:v>
                </c:pt>
                <c:pt idx="808">
                  <c:v>6</c:v>
                </c:pt>
                <c:pt idx="809">
                  <c:v>3</c:v>
                </c:pt>
                <c:pt idx="810">
                  <c:v>2</c:v>
                </c:pt>
                <c:pt idx="811">
                  <c:v>2</c:v>
                </c:pt>
                <c:pt idx="812">
                  <c:v>8</c:v>
                </c:pt>
                <c:pt idx="813">
                  <c:v>1</c:v>
                </c:pt>
                <c:pt idx="814">
                  <c:v>9</c:v>
                </c:pt>
                <c:pt idx="815">
                  <c:v>6</c:v>
                </c:pt>
                <c:pt idx="816">
                  <c:v>7</c:v>
                </c:pt>
                <c:pt idx="817">
                  <c:v>8</c:v>
                </c:pt>
                <c:pt idx="818">
                  <c:v>1</c:v>
                </c:pt>
                <c:pt idx="819">
                  <c:v>3</c:v>
                </c:pt>
                <c:pt idx="820">
                  <c:v>1</c:v>
                </c:pt>
                <c:pt idx="821">
                  <c:v>7</c:v>
                </c:pt>
                <c:pt idx="822">
                  <c:v>4</c:v>
                </c:pt>
                <c:pt idx="823">
                  <c:v>2</c:v>
                </c:pt>
                <c:pt idx="824">
                  <c:v>5</c:v>
                </c:pt>
                <c:pt idx="825">
                  <c:v>1</c:v>
                </c:pt>
                <c:pt idx="826">
                  <c:v>4</c:v>
                </c:pt>
                <c:pt idx="827">
                  <c:v>2</c:v>
                </c:pt>
                <c:pt idx="828">
                  <c:v>8</c:v>
                </c:pt>
                <c:pt idx="829">
                  <c:v>3</c:v>
                </c:pt>
                <c:pt idx="830">
                  <c:v>4</c:v>
                </c:pt>
                <c:pt idx="831">
                  <c:v>6</c:v>
                </c:pt>
                <c:pt idx="832">
                  <c:v>3</c:v>
                </c:pt>
                <c:pt idx="833">
                  <c:v>3</c:v>
                </c:pt>
                <c:pt idx="834">
                  <c:v>5</c:v>
                </c:pt>
                <c:pt idx="835">
                  <c:v>4</c:v>
                </c:pt>
                <c:pt idx="836">
                  <c:v>6</c:v>
                </c:pt>
                <c:pt idx="837">
                  <c:v>5</c:v>
                </c:pt>
                <c:pt idx="838">
                  <c:v>9</c:v>
                </c:pt>
                <c:pt idx="839">
                  <c:v>10</c:v>
                </c:pt>
                <c:pt idx="840">
                  <c:v>3</c:v>
                </c:pt>
                <c:pt idx="841">
                  <c:v>7</c:v>
                </c:pt>
                <c:pt idx="842">
                  <c:v>5</c:v>
                </c:pt>
                <c:pt idx="843">
                  <c:v>6</c:v>
                </c:pt>
                <c:pt idx="844">
                  <c:v>7</c:v>
                </c:pt>
                <c:pt idx="845">
                  <c:v>10</c:v>
                </c:pt>
                <c:pt idx="846">
                  <c:v>1</c:v>
                </c:pt>
                <c:pt idx="847">
                  <c:v>2</c:v>
                </c:pt>
                <c:pt idx="848">
                  <c:v>9</c:v>
                </c:pt>
                <c:pt idx="849">
                  <c:v>10</c:v>
                </c:pt>
                <c:pt idx="850">
                  <c:v>3</c:v>
                </c:pt>
                <c:pt idx="851">
                  <c:v>10</c:v>
                </c:pt>
                <c:pt idx="852">
                  <c:v>8</c:v>
                </c:pt>
                <c:pt idx="853">
                  <c:v>5</c:v>
                </c:pt>
                <c:pt idx="854">
                  <c:v>2</c:v>
                </c:pt>
                <c:pt idx="855">
                  <c:v>1</c:v>
                </c:pt>
                <c:pt idx="856">
                  <c:v>8</c:v>
                </c:pt>
                <c:pt idx="857">
                  <c:v>4</c:v>
                </c:pt>
                <c:pt idx="858">
                  <c:v>6</c:v>
                </c:pt>
                <c:pt idx="859">
                  <c:v>7</c:v>
                </c:pt>
                <c:pt idx="860">
                  <c:v>8</c:v>
                </c:pt>
                <c:pt idx="861">
                  <c:v>9</c:v>
                </c:pt>
                <c:pt idx="862">
                  <c:v>2</c:v>
                </c:pt>
                <c:pt idx="863">
                  <c:v>2</c:v>
                </c:pt>
                <c:pt idx="864">
                  <c:v>7</c:v>
                </c:pt>
                <c:pt idx="865">
                  <c:v>5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1</c:v>
                </c:pt>
                <c:pt idx="870">
                  <c:v>3</c:v>
                </c:pt>
                <c:pt idx="871">
                  <c:v>5</c:v>
                </c:pt>
                <c:pt idx="872">
                  <c:v>5</c:v>
                </c:pt>
                <c:pt idx="873">
                  <c:v>6</c:v>
                </c:pt>
                <c:pt idx="874">
                  <c:v>5</c:v>
                </c:pt>
                <c:pt idx="875">
                  <c:v>4</c:v>
                </c:pt>
                <c:pt idx="876">
                  <c:v>10</c:v>
                </c:pt>
                <c:pt idx="877">
                  <c:v>7</c:v>
                </c:pt>
                <c:pt idx="878">
                  <c:v>2</c:v>
                </c:pt>
                <c:pt idx="879">
                  <c:v>2</c:v>
                </c:pt>
                <c:pt idx="880">
                  <c:v>8</c:v>
                </c:pt>
                <c:pt idx="881">
                  <c:v>10</c:v>
                </c:pt>
                <c:pt idx="882">
                  <c:v>7</c:v>
                </c:pt>
                <c:pt idx="883">
                  <c:v>8</c:v>
                </c:pt>
                <c:pt idx="884">
                  <c:v>1</c:v>
                </c:pt>
                <c:pt idx="885">
                  <c:v>8</c:v>
                </c:pt>
                <c:pt idx="886">
                  <c:v>2</c:v>
                </c:pt>
                <c:pt idx="887">
                  <c:v>9</c:v>
                </c:pt>
                <c:pt idx="888">
                  <c:v>1</c:v>
                </c:pt>
                <c:pt idx="889">
                  <c:v>4</c:v>
                </c:pt>
                <c:pt idx="890">
                  <c:v>1</c:v>
                </c:pt>
                <c:pt idx="891">
                  <c:v>3</c:v>
                </c:pt>
                <c:pt idx="892">
                  <c:v>8</c:v>
                </c:pt>
                <c:pt idx="893">
                  <c:v>1</c:v>
                </c:pt>
                <c:pt idx="894">
                  <c:v>3</c:v>
                </c:pt>
                <c:pt idx="895">
                  <c:v>9</c:v>
                </c:pt>
                <c:pt idx="896">
                  <c:v>8</c:v>
                </c:pt>
                <c:pt idx="897">
                  <c:v>10</c:v>
                </c:pt>
                <c:pt idx="898">
                  <c:v>5</c:v>
                </c:pt>
                <c:pt idx="899">
                  <c:v>3</c:v>
                </c:pt>
                <c:pt idx="900">
                  <c:v>7</c:v>
                </c:pt>
                <c:pt idx="901">
                  <c:v>6</c:v>
                </c:pt>
                <c:pt idx="902">
                  <c:v>3</c:v>
                </c:pt>
                <c:pt idx="903">
                  <c:v>6</c:v>
                </c:pt>
                <c:pt idx="904">
                  <c:v>2</c:v>
                </c:pt>
                <c:pt idx="905">
                  <c:v>5</c:v>
                </c:pt>
                <c:pt idx="906">
                  <c:v>2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1</c:v>
                </c:pt>
                <c:pt idx="912">
                  <c:v>3</c:v>
                </c:pt>
                <c:pt idx="913">
                  <c:v>1</c:v>
                </c:pt>
                <c:pt idx="914">
                  <c:v>1</c:v>
                </c:pt>
                <c:pt idx="915">
                  <c:v>3</c:v>
                </c:pt>
                <c:pt idx="916">
                  <c:v>2</c:v>
                </c:pt>
                <c:pt idx="917">
                  <c:v>5</c:v>
                </c:pt>
                <c:pt idx="918">
                  <c:v>7</c:v>
                </c:pt>
                <c:pt idx="919">
                  <c:v>6</c:v>
                </c:pt>
                <c:pt idx="920">
                  <c:v>1</c:v>
                </c:pt>
                <c:pt idx="921">
                  <c:v>7</c:v>
                </c:pt>
                <c:pt idx="922">
                  <c:v>10</c:v>
                </c:pt>
                <c:pt idx="923">
                  <c:v>6</c:v>
                </c:pt>
                <c:pt idx="924">
                  <c:v>3</c:v>
                </c:pt>
                <c:pt idx="925">
                  <c:v>3</c:v>
                </c:pt>
                <c:pt idx="926">
                  <c:v>10</c:v>
                </c:pt>
                <c:pt idx="927">
                  <c:v>4</c:v>
                </c:pt>
                <c:pt idx="928">
                  <c:v>1</c:v>
                </c:pt>
                <c:pt idx="929">
                  <c:v>1</c:v>
                </c:pt>
                <c:pt idx="930">
                  <c:v>4</c:v>
                </c:pt>
                <c:pt idx="931">
                  <c:v>8</c:v>
                </c:pt>
                <c:pt idx="932">
                  <c:v>8</c:v>
                </c:pt>
                <c:pt idx="933">
                  <c:v>2</c:v>
                </c:pt>
                <c:pt idx="934">
                  <c:v>4</c:v>
                </c:pt>
                <c:pt idx="935">
                  <c:v>10</c:v>
                </c:pt>
                <c:pt idx="936">
                  <c:v>3</c:v>
                </c:pt>
                <c:pt idx="937">
                  <c:v>7</c:v>
                </c:pt>
                <c:pt idx="938">
                  <c:v>1</c:v>
                </c:pt>
                <c:pt idx="939">
                  <c:v>10</c:v>
                </c:pt>
                <c:pt idx="940">
                  <c:v>7</c:v>
                </c:pt>
                <c:pt idx="941">
                  <c:v>5</c:v>
                </c:pt>
                <c:pt idx="942">
                  <c:v>2</c:v>
                </c:pt>
                <c:pt idx="943">
                  <c:v>8</c:v>
                </c:pt>
                <c:pt idx="944">
                  <c:v>8</c:v>
                </c:pt>
                <c:pt idx="945">
                  <c:v>6</c:v>
                </c:pt>
                <c:pt idx="946">
                  <c:v>2</c:v>
                </c:pt>
                <c:pt idx="947">
                  <c:v>10</c:v>
                </c:pt>
                <c:pt idx="948">
                  <c:v>9</c:v>
                </c:pt>
                <c:pt idx="949">
                  <c:v>8</c:v>
                </c:pt>
                <c:pt idx="950">
                  <c:v>8</c:v>
                </c:pt>
                <c:pt idx="951">
                  <c:v>4</c:v>
                </c:pt>
                <c:pt idx="952">
                  <c:v>9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9</c:v>
                </c:pt>
                <c:pt idx="957">
                  <c:v>5</c:v>
                </c:pt>
                <c:pt idx="958">
                  <c:v>1</c:v>
                </c:pt>
                <c:pt idx="959">
                  <c:v>9</c:v>
                </c:pt>
                <c:pt idx="960">
                  <c:v>10</c:v>
                </c:pt>
                <c:pt idx="961">
                  <c:v>7</c:v>
                </c:pt>
                <c:pt idx="962">
                  <c:v>5</c:v>
                </c:pt>
                <c:pt idx="963">
                  <c:v>2</c:v>
                </c:pt>
                <c:pt idx="964">
                  <c:v>8</c:v>
                </c:pt>
                <c:pt idx="965">
                  <c:v>6</c:v>
                </c:pt>
                <c:pt idx="966">
                  <c:v>3</c:v>
                </c:pt>
                <c:pt idx="967">
                  <c:v>9</c:v>
                </c:pt>
                <c:pt idx="968">
                  <c:v>1</c:v>
                </c:pt>
                <c:pt idx="969">
                  <c:v>1</c:v>
                </c:pt>
                <c:pt idx="970">
                  <c:v>4</c:v>
                </c:pt>
                <c:pt idx="971">
                  <c:v>10</c:v>
                </c:pt>
                <c:pt idx="972">
                  <c:v>10</c:v>
                </c:pt>
                <c:pt idx="973">
                  <c:v>6</c:v>
                </c:pt>
                <c:pt idx="974">
                  <c:v>3</c:v>
                </c:pt>
                <c:pt idx="975">
                  <c:v>1</c:v>
                </c:pt>
                <c:pt idx="976">
                  <c:v>3</c:v>
                </c:pt>
                <c:pt idx="977">
                  <c:v>6</c:v>
                </c:pt>
                <c:pt idx="978">
                  <c:v>5</c:v>
                </c:pt>
                <c:pt idx="979">
                  <c:v>6</c:v>
                </c:pt>
                <c:pt idx="980">
                  <c:v>10</c:v>
                </c:pt>
                <c:pt idx="981">
                  <c:v>3</c:v>
                </c:pt>
                <c:pt idx="982">
                  <c:v>4</c:v>
                </c:pt>
                <c:pt idx="983">
                  <c:v>3</c:v>
                </c:pt>
                <c:pt idx="984">
                  <c:v>1</c:v>
                </c:pt>
                <c:pt idx="985">
                  <c:v>4</c:v>
                </c:pt>
                <c:pt idx="986">
                  <c:v>2</c:v>
                </c:pt>
                <c:pt idx="987">
                  <c:v>2</c:v>
                </c:pt>
                <c:pt idx="988">
                  <c:v>1</c:v>
                </c:pt>
                <c:pt idx="989">
                  <c:v>4</c:v>
                </c:pt>
                <c:pt idx="990">
                  <c:v>9</c:v>
                </c:pt>
                <c:pt idx="991">
                  <c:v>8</c:v>
                </c:pt>
                <c:pt idx="992">
                  <c:v>5</c:v>
                </c:pt>
                <c:pt idx="993">
                  <c:v>1</c:v>
                </c:pt>
                <c:pt idx="994">
                  <c:v>9</c:v>
                </c:pt>
                <c:pt idx="995">
                  <c:v>9</c:v>
                </c:pt>
                <c:pt idx="996">
                  <c:v>5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</c:numCache>
            </c:numRef>
          </c:xVal>
          <c:yVal>
            <c:numRef>
              <c:f>Cleaned_Sales_Dataset!$L$2:$L$1001</c:f>
              <c:numCache>
                <c:formatCode>General</c:formatCode>
                <c:ptCount val="1000"/>
                <c:pt idx="0">
                  <c:v>19808.39</c:v>
                </c:pt>
                <c:pt idx="1">
                  <c:v>139530.79999999999</c:v>
                </c:pt>
                <c:pt idx="2">
                  <c:v>299928.48</c:v>
                </c:pt>
                <c:pt idx="3">
                  <c:v>256872.24</c:v>
                </c:pt>
                <c:pt idx="4">
                  <c:v>140365.9</c:v>
                </c:pt>
                <c:pt idx="5">
                  <c:v>323527.23</c:v>
                </c:pt>
                <c:pt idx="6">
                  <c:v>299985.18</c:v>
                </c:pt>
                <c:pt idx="7">
                  <c:v>28466.49</c:v>
                </c:pt>
                <c:pt idx="8">
                  <c:v>116929.38</c:v>
                </c:pt>
                <c:pt idx="9">
                  <c:v>144194.72</c:v>
                </c:pt>
                <c:pt idx="10">
                  <c:v>42454.26</c:v>
                </c:pt>
                <c:pt idx="11">
                  <c:v>283052.58</c:v>
                </c:pt>
                <c:pt idx="12">
                  <c:v>37068.400000000001</c:v>
                </c:pt>
                <c:pt idx="13">
                  <c:v>96340.160000000003</c:v>
                </c:pt>
                <c:pt idx="14">
                  <c:v>203722.48</c:v>
                </c:pt>
                <c:pt idx="15">
                  <c:v>201110.9</c:v>
                </c:pt>
                <c:pt idx="16">
                  <c:v>401091.2</c:v>
                </c:pt>
                <c:pt idx="17">
                  <c:v>7280.64</c:v>
                </c:pt>
                <c:pt idx="18">
                  <c:v>30612.95</c:v>
                </c:pt>
                <c:pt idx="19">
                  <c:v>190162.88</c:v>
                </c:pt>
                <c:pt idx="20">
                  <c:v>2344.98</c:v>
                </c:pt>
                <c:pt idx="21">
                  <c:v>107774.59</c:v>
                </c:pt>
                <c:pt idx="22">
                  <c:v>315765</c:v>
                </c:pt>
                <c:pt idx="23">
                  <c:v>22254.12</c:v>
                </c:pt>
                <c:pt idx="24">
                  <c:v>252489.02</c:v>
                </c:pt>
                <c:pt idx="25">
                  <c:v>354730.14</c:v>
                </c:pt>
                <c:pt idx="26">
                  <c:v>47674.82</c:v>
                </c:pt>
                <c:pt idx="27">
                  <c:v>72673.95</c:v>
                </c:pt>
                <c:pt idx="28">
                  <c:v>213936.9</c:v>
                </c:pt>
                <c:pt idx="29">
                  <c:v>42764.32</c:v>
                </c:pt>
                <c:pt idx="30">
                  <c:v>15831.03</c:v>
                </c:pt>
                <c:pt idx="31">
                  <c:v>174333.28</c:v>
                </c:pt>
                <c:pt idx="32">
                  <c:v>87780.4</c:v>
                </c:pt>
                <c:pt idx="33">
                  <c:v>234114.2</c:v>
                </c:pt>
                <c:pt idx="34">
                  <c:v>191586.8</c:v>
                </c:pt>
                <c:pt idx="35">
                  <c:v>359291.92</c:v>
                </c:pt>
                <c:pt idx="36">
                  <c:v>285227.53000000003</c:v>
                </c:pt>
                <c:pt idx="37">
                  <c:v>19176.32</c:v>
                </c:pt>
                <c:pt idx="38">
                  <c:v>234167.84</c:v>
                </c:pt>
                <c:pt idx="39">
                  <c:v>3992.85</c:v>
                </c:pt>
                <c:pt idx="40">
                  <c:v>221829.7</c:v>
                </c:pt>
                <c:pt idx="41">
                  <c:v>119662.88</c:v>
                </c:pt>
                <c:pt idx="42">
                  <c:v>99128.639999999999</c:v>
                </c:pt>
                <c:pt idx="43">
                  <c:v>86394.66</c:v>
                </c:pt>
                <c:pt idx="44">
                  <c:v>13424.67</c:v>
                </c:pt>
                <c:pt idx="45">
                  <c:v>12420.48</c:v>
                </c:pt>
                <c:pt idx="46">
                  <c:v>95299.22</c:v>
                </c:pt>
                <c:pt idx="47">
                  <c:v>124270.25</c:v>
                </c:pt>
                <c:pt idx="48">
                  <c:v>277513.83</c:v>
                </c:pt>
                <c:pt idx="49">
                  <c:v>123371.82</c:v>
                </c:pt>
                <c:pt idx="50">
                  <c:v>493677.5</c:v>
                </c:pt>
                <c:pt idx="51">
                  <c:v>27936.6</c:v>
                </c:pt>
                <c:pt idx="52">
                  <c:v>296420.74</c:v>
                </c:pt>
                <c:pt idx="53">
                  <c:v>264230.68</c:v>
                </c:pt>
                <c:pt idx="54">
                  <c:v>66608.34</c:v>
                </c:pt>
                <c:pt idx="55">
                  <c:v>246944.64000000001</c:v>
                </c:pt>
                <c:pt idx="56">
                  <c:v>333687.40999999997</c:v>
                </c:pt>
                <c:pt idx="57">
                  <c:v>44708.5</c:v>
                </c:pt>
                <c:pt idx="58">
                  <c:v>184045.4</c:v>
                </c:pt>
                <c:pt idx="59">
                  <c:v>101171.88</c:v>
                </c:pt>
                <c:pt idx="60">
                  <c:v>29263.26</c:v>
                </c:pt>
                <c:pt idx="61">
                  <c:v>17039.73</c:v>
                </c:pt>
                <c:pt idx="62">
                  <c:v>277415.76</c:v>
                </c:pt>
                <c:pt idx="63">
                  <c:v>244476.54</c:v>
                </c:pt>
                <c:pt idx="64">
                  <c:v>89054.9</c:v>
                </c:pt>
                <c:pt idx="65">
                  <c:v>174065.2</c:v>
                </c:pt>
                <c:pt idx="66">
                  <c:v>136832.9</c:v>
                </c:pt>
                <c:pt idx="67">
                  <c:v>206413.15</c:v>
                </c:pt>
                <c:pt idx="68">
                  <c:v>109163.28</c:v>
                </c:pt>
                <c:pt idx="69">
                  <c:v>218701.12</c:v>
                </c:pt>
                <c:pt idx="70">
                  <c:v>146098.6</c:v>
                </c:pt>
                <c:pt idx="71">
                  <c:v>25717.95</c:v>
                </c:pt>
                <c:pt idx="72">
                  <c:v>408776.58</c:v>
                </c:pt>
                <c:pt idx="73">
                  <c:v>86397.04</c:v>
                </c:pt>
                <c:pt idx="74">
                  <c:v>17766.900000000001</c:v>
                </c:pt>
                <c:pt idx="75">
                  <c:v>110614.05</c:v>
                </c:pt>
                <c:pt idx="76">
                  <c:v>64707.839999999997</c:v>
                </c:pt>
                <c:pt idx="77">
                  <c:v>35862.339999999997</c:v>
                </c:pt>
                <c:pt idx="78">
                  <c:v>13129.64</c:v>
                </c:pt>
                <c:pt idx="79">
                  <c:v>411726.33</c:v>
                </c:pt>
                <c:pt idx="80">
                  <c:v>35099.339999999997</c:v>
                </c:pt>
                <c:pt idx="81">
                  <c:v>439609.5</c:v>
                </c:pt>
                <c:pt idx="82">
                  <c:v>223452.45</c:v>
                </c:pt>
                <c:pt idx="83">
                  <c:v>142731.20000000001</c:v>
                </c:pt>
                <c:pt idx="84">
                  <c:v>136626.6</c:v>
                </c:pt>
                <c:pt idx="85">
                  <c:v>48677.96</c:v>
                </c:pt>
                <c:pt idx="86">
                  <c:v>2094.36</c:v>
                </c:pt>
                <c:pt idx="87">
                  <c:v>163989.92000000001</c:v>
                </c:pt>
                <c:pt idx="88">
                  <c:v>118002.51</c:v>
                </c:pt>
                <c:pt idx="89">
                  <c:v>405004.41</c:v>
                </c:pt>
                <c:pt idx="90">
                  <c:v>6910.12</c:v>
                </c:pt>
                <c:pt idx="91">
                  <c:v>230997.12</c:v>
                </c:pt>
                <c:pt idx="92">
                  <c:v>143752.47</c:v>
                </c:pt>
                <c:pt idx="93">
                  <c:v>213995.1</c:v>
                </c:pt>
                <c:pt idx="94">
                  <c:v>75639.399999999994</c:v>
                </c:pt>
                <c:pt idx="95">
                  <c:v>291741.38</c:v>
                </c:pt>
                <c:pt idx="96">
                  <c:v>407455.5</c:v>
                </c:pt>
                <c:pt idx="97">
                  <c:v>62434.239999999998</c:v>
                </c:pt>
                <c:pt idx="98">
                  <c:v>2768.1</c:v>
                </c:pt>
                <c:pt idx="99">
                  <c:v>27898.639999999999</c:v>
                </c:pt>
                <c:pt idx="100">
                  <c:v>174940.92</c:v>
                </c:pt>
                <c:pt idx="101">
                  <c:v>122561.37</c:v>
                </c:pt>
                <c:pt idx="102">
                  <c:v>311180.64</c:v>
                </c:pt>
                <c:pt idx="103">
                  <c:v>51282.42</c:v>
                </c:pt>
                <c:pt idx="104">
                  <c:v>323841.07</c:v>
                </c:pt>
                <c:pt idx="105">
                  <c:v>5629.1</c:v>
                </c:pt>
                <c:pt idx="106">
                  <c:v>328896.40000000002</c:v>
                </c:pt>
                <c:pt idx="107">
                  <c:v>147307.51999999999</c:v>
                </c:pt>
                <c:pt idx="108">
                  <c:v>128419.56</c:v>
                </c:pt>
                <c:pt idx="109">
                  <c:v>33198</c:v>
                </c:pt>
                <c:pt idx="110">
                  <c:v>7916.91</c:v>
                </c:pt>
                <c:pt idx="111">
                  <c:v>100010.88</c:v>
                </c:pt>
                <c:pt idx="112">
                  <c:v>103917.5</c:v>
                </c:pt>
                <c:pt idx="113">
                  <c:v>224371.6</c:v>
                </c:pt>
                <c:pt idx="114">
                  <c:v>369482.04</c:v>
                </c:pt>
                <c:pt idx="115">
                  <c:v>42782.38</c:v>
                </c:pt>
                <c:pt idx="116">
                  <c:v>147500.76</c:v>
                </c:pt>
                <c:pt idx="117">
                  <c:v>166562.96</c:v>
                </c:pt>
                <c:pt idx="118">
                  <c:v>51591.1</c:v>
                </c:pt>
                <c:pt idx="119">
                  <c:v>35133.760000000002</c:v>
                </c:pt>
                <c:pt idx="120">
                  <c:v>36304.28</c:v>
                </c:pt>
                <c:pt idx="121">
                  <c:v>113778.84</c:v>
                </c:pt>
                <c:pt idx="122">
                  <c:v>19026.349999999999</c:v>
                </c:pt>
                <c:pt idx="123">
                  <c:v>325425.87</c:v>
                </c:pt>
                <c:pt idx="124">
                  <c:v>17041.21</c:v>
                </c:pt>
                <c:pt idx="125">
                  <c:v>248966.58</c:v>
                </c:pt>
                <c:pt idx="126">
                  <c:v>259301</c:v>
                </c:pt>
                <c:pt idx="127">
                  <c:v>210254.64</c:v>
                </c:pt>
                <c:pt idx="128">
                  <c:v>174666.56</c:v>
                </c:pt>
                <c:pt idx="129">
                  <c:v>243462.6</c:v>
                </c:pt>
                <c:pt idx="130">
                  <c:v>195199.8</c:v>
                </c:pt>
                <c:pt idx="131">
                  <c:v>299029.7</c:v>
                </c:pt>
                <c:pt idx="132">
                  <c:v>132772.22</c:v>
                </c:pt>
                <c:pt idx="133">
                  <c:v>429431.7</c:v>
                </c:pt>
                <c:pt idx="134">
                  <c:v>145301.46</c:v>
                </c:pt>
                <c:pt idx="135">
                  <c:v>63845.1</c:v>
                </c:pt>
                <c:pt idx="136">
                  <c:v>148740.85</c:v>
                </c:pt>
                <c:pt idx="137">
                  <c:v>180509.76</c:v>
                </c:pt>
                <c:pt idx="138">
                  <c:v>121251.76</c:v>
                </c:pt>
                <c:pt idx="139">
                  <c:v>226245.78</c:v>
                </c:pt>
                <c:pt idx="140">
                  <c:v>203324.1</c:v>
                </c:pt>
                <c:pt idx="141">
                  <c:v>181063.26</c:v>
                </c:pt>
                <c:pt idx="142">
                  <c:v>85717.2</c:v>
                </c:pt>
                <c:pt idx="143">
                  <c:v>27593.599999999999</c:v>
                </c:pt>
                <c:pt idx="144">
                  <c:v>20740.93</c:v>
                </c:pt>
                <c:pt idx="145">
                  <c:v>112729.05</c:v>
                </c:pt>
                <c:pt idx="146">
                  <c:v>122496.24</c:v>
                </c:pt>
                <c:pt idx="147">
                  <c:v>16185.56</c:v>
                </c:pt>
                <c:pt idx="148">
                  <c:v>7894.56</c:v>
                </c:pt>
                <c:pt idx="149">
                  <c:v>333996.40000000002</c:v>
                </c:pt>
                <c:pt idx="150">
                  <c:v>439499.43</c:v>
                </c:pt>
                <c:pt idx="151">
                  <c:v>340497.71</c:v>
                </c:pt>
                <c:pt idx="152">
                  <c:v>169196.64</c:v>
                </c:pt>
                <c:pt idx="153">
                  <c:v>191167.55</c:v>
                </c:pt>
                <c:pt idx="154">
                  <c:v>26010.12</c:v>
                </c:pt>
                <c:pt idx="155">
                  <c:v>36587.919999999998</c:v>
                </c:pt>
                <c:pt idx="156">
                  <c:v>81620.02</c:v>
                </c:pt>
                <c:pt idx="157">
                  <c:v>199283</c:v>
                </c:pt>
                <c:pt idx="158">
                  <c:v>10851.3</c:v>
                </c:pt>
                <c:pt idx="159">
                  <c:v>437.34</c:v>
                </c:pt>
                <c:pt idx="160">
                  <c:v>203724.09</c:v>
                </c:pt>
                <c:pt idx="161">
                  <c:v>238983.9</c:v>
                </c:pt>
                <c:pt idx="162">
                  <c:v>410547.20000000001</c:v>
                </c:pt>
                <c:pt idx="163">
                  <c:v>141200.44</c:v>
                </c:pt>
                <c:pt idx="164">
                  <c:v>125266.25</c:v>
                </c:pt>
                <c:pt idx="165">
                  <c:v>165724.79</c:v>
                </c:pt>
                <c:pt idx="166">
                  <c:v>299490.08</c:v>
                </c:pt>
                <c:pt idx="167">
                  <c:v>317305.7</c:v>
                </c:pt>
                <c:pt idx="168">
                  <c:v>120557.08</c:v>
                </c:pt>
                <c:pt idx="169">
                  <c:v>30869.01</c:v>
                </c:pt>
                <c:pt idx="170">
                  <c:v>8906.18</c:v>
                </c:pt>
                <c:pt idx="171">
                  <c:v>43713.279999999999</c:v>
                </c:pt>
                <c:pt idx="172">
                  <c:v>241032.51</c:v>
                </c:pt>
                <c:pt idx="173">
                  <c:v>444513.78</c:v>
                </c:pt>
                <c:pt idx="174">
                  <c:v>196134.84</c:v>
                </c:pt>
                <c:pt idx="175">
                  <c:v>67401.84</c:v>
                </c:pt>
                <c:pt idx="176">
                  <c:v>28196.26</c:v>
                </c:pt>
                <c:pt idx="177">
                  <c:v>102099.33</c:v>
                </c:pt>
                <c:pt idx="178">
                  <c:v>7119.05</c:v>
                </c:pt>
                <c:pt idx="179">
                  <c:v>237884.56</c:v>
                </c:pt>
                <c:pt idx="180">
                  <c:v>10367</c:v>
                </c:pt>
                <c:pt idx="181">
                  <c:v>185034.88</c:v>
                </c:pt>
                <c:pt idx="182">
                  <c:v>88672.76</c:v>
                </c:pt>
                <c:pt idx="183">
                  <c:v>14919.85</c:v>
                </c:pt>
                <c:pt idx="184">
                  <c:v>26461.65</c:v>
                </c:pt>
                <c:pt idx="185">
                  <c:v>21001.73</c:v>
                </c:pt>
                <c:pt idx="186">
                  <c:v>150907.5</c:v>
                </c:pt>
                <c:pt idx="187">
                  <c:v>143878.14000000001</c:v>
                </c:pt>
                <c:pt idx="188">
                  <c:v>38214.199999999997</c:v>
                </c:pt>
                <c:pt idx="189">
                  <c:v>19590.5</c:v>
                </c:pt>
                <c:pt idx="190">
                  <c:v>105841.56</c:v>
                </c:pt>
                <c:pt idx="191">
                  <c:v>54797.1</c:v>
                </c:pt>
                <c:pt idx="192">
                  <c:v>274083.59999999998</c:v>
                </c:pt>
                <c:pt idx="193">
                  <c:v>89287.2</c:v>
                </c:pt>
                <c:pt idx="194">
                  <c:v>219937.28</c:v>
                </c:pt>
                <c:pt idx="195">
                  <c:v>35489.21</c:v>
                </c:pt>
                <c:pt idx="196">
                  <c:v>252084.4</c:v>
                </c:pt>
                <c:pt idx="197">
                  <c:v>16633.849999999999</c:v>
                </c:pt>
                <c:pt idx="198">
                  <c:v>220868.4</c:v>
                </c:pt>
                <c:pt idx="199">
                  <c:v>178648.82</c:v>
                </c:pt>
                <c:pt idx="200">
                  <c:v>142635.56</c:v>
                </c:pt>
                <c:pt idx="201">
                  <c:v>144704.16</c:v>
                </c:pt>
                <c:pt idx="202">
                  <c:v>48123.87</c:v>
                </c:pt>
                <c:pt idx="203">
                  <c:v>148803.66</c:v>
                </c:pt>
                <c:pt idx="204">
                  <c:v>16714.64</c:v>
                </c:pt>
                <c:pt idx="205">
                  <c:v>185424.32</c:v>
                </c:pt>
                <c:pt idx="206">
                  <c:v>21090.240000000002</c:v>
                </c:pt>
                <c:pt idx="207">
                  <c:v>208852.56</c:v>
                </c:pt>
                <c:pt idx="208">
                  <c:v>177138.7</c:v>
                </c:pt>
                <c:pt idx="209">
                  <c:v>13263.99</c:v>
                </c:pt>
                <c:pt idx="210">
                  <c:v>49067.82</c:v>
                </c:pt>
                <c:pt idx="211">
                  <c:v>111865.08</c:v>
                </c:pt>
                <c:pt idx="212">
                  <c:v>130165.29</c:v>
                </c:pt>
                <c:pt idx="213">
                  <c:v>29838.32</c:v>
                </c:pt>
                <c:pt idx="214">
                  <c:v>47542</c:v>
                </c:pt>
                <c:pt idx="215">
                  <c:v>156219.79999999999</c:v>
                </c:pt>
                <c:pt idx="216">
                  <c:v>121853.1</c:v>
                </c:pt>
                <c:pt idx="217">
                  <c:v>62199.8</c:v>
                </c:pt>
                <c:pt idx="218">
                  <c:v>34192.300000000003</c:v>
                </c:pt>
                <c:pt idx="219">
                  <c:v>24428.2</c:v>
                </c:pt>
                <c:pt idx="220">
                  <c:v>490866.4</c:v>
                </c:pt>
                <c:pt idx="221">
                  <c:v>163236.96</c:v>
                </c:pt>
                <c:pt idx="222">
                  <c:v>394778.24</c:v>
                </c:pt>
                <c:pt idx="223">
                  <c:v>25336.7</c:v>
                </c:pt>
                <c:pt idx="224">
                  <c:v>36805.550000000003</c:v>
                </c:pt>
                <c:pt idx="225">
                  <c:v>132823.76</c:v>
                </c:pt>
                <c:pt idx="226">
                  <c:v>86438.080000000002</c:v>
                </c:pt>
                <c:pt idx="227">
                  <c:v>330723.90000000002</c:v>
                </c:pt>
                <c:pt idx="228">
                  <c:v>280078.14</c:v>
                </c:pt>
                <c:pt idx="229">
                  <c:v>53794.02</c:v>
                </c:pt>
                <c:pt idx="230">
                  <c:v>22073.279999999999</c:v>
                </c:pt>
                <c:pt idx="231">
                  <c:v>107317.63</c:v>
                </c:pt>
                <c:pt idx="232">
                  <c:v>41626.11</c:v>
                </c:pt>
                <c:pt idx="233">
                  <c:v>267836.96000000002</c:v>
                </c:pt>
                <c:pt idx="234">
                  <c:v>397220.94</c:v>
                </c:pt>
                <c:pt idx="235">
                  <c:v>45048.9</c:v>
                </c:pt>
                <c:pt idx="236">
                  <c:v>200976.86</c:v>
                </c:pt>
                <c:pt idx="237">
                  <c:v>153373.79999999999</c:v>
                </c:pt>
                <c:pt idx="238">
                  <c:v>8582.49</c:v>
                </c:pt>
                <c:pt idx="239">
                  <c:v>5944.12</c:v>
                </c:pt>
                <c:pt idx="240">
                  <c:v>33273.360000000001</c:v>
                </c:pt>
                <c:pt idx="241">
                  <c:v>43529.29</c:v>
                </c:pt>
                <c:pt idx="242">
                  <c:v>296462.59999999998</c:v>
                </c:pt>
                <c:pt idx="243">
                  <c:v>74724.160000000003</c:v>
                </c:pt>
                <c:pt idx="244">
                  <c:v>178309.16</c:v>
                </c:pt>
                <c:pt idx="245">
                  <c:v>219522.18</c:v>
                </c:pt>
                <c:pt idx="246">
                  <c:v>75833.37</c:v>
                </c:pt>
                <c:pt idx="247">
                  <c:v>308555</c:v>
                </c:pt>
                <c:pt idx="248">
                  <c:v>138808.10999999999</c:v>
                </c:pt>
                <c:pt idx="249">
                  <c:v>325228.19</c:v>
                </c:pt>
                <c:pt idx="250">
                  <c:v>64336.72</c:v>
                </c:pt>
                <c:pt idx="251">
                  <c:v>3310.72</c:v>
                </c:pt>
                <c:pt idx="252">
                  <c:v>177852.72</c:v>
                </c:pt>
                <c:pt idx="253">
                  <c:v>261456.84</c:v>
                </c:pt>
                <c:pt idx="254">
                  <c:v>43789.89</c:v>
                </c:pt>
                <c:pt idx="255">
                  <c:v>34757.71</c:v>
                </c:pt>
                <c:pt idx="256">
                  <c:v>43373.54</c:v>
                </c:pt>
                <c:pt idx="257">
                  <c:v>290918.71999999997</c:v>
                </c:pt>
                <c:pt idx="258">
                  <c:v>47845.02</c:v>
                </c:pt>
                <c:pt idx="259">
                  <c:v>86462</c:v>
                </c:pt>
                <c:pt idx="260">
                  <c:v>175530.12</c:v>
                </c:pt>
                <c:pt idx="261">
                  <c:v>103625.84</c:v>
                </c:pt>
                <c:pt idx="262">
                  <c:v>54990.9</c:v>
                </c:pt>
                <c:pt idx="263">
                  <c:v>363317.5</c:v>
                </c:pt>
                <c:pt idx="264">
                  <c:v>51679.6</c:v>
                </c:pt>
                <c:pt idx="265">
                  <c:v>100658</c:v>
                </c:pt>
                <c:pt idx="266">
                  <c:v>248328.55</c:v>
                </c:pt>
                <c:pt idx="267">
                  <c:v>96526.71</c:v>
                </c:pt>
                <c:pt idx="268">
                  <c:v>82021.25</c:v>
                </c:pt>
                <c:pt idx="269">
                  <c:v>97121.64</c:v>
                </c:pt>
                <c:pt idx="270">
                  <c:v>150268.72</c:v>
                </c:pt>
                <c:pt idx="271">
                  <c:v>236009.2</c:v>
                </c:pt>
                <c:pt idx="272">
                  <c:v>180858.3</c:v>
                </c:pt>
                <c:pt idx="273">
                  <c:v>378494.16</c:v>
                </c:pt>
                <c:pt idx="274">
                  <c:v>259787.34</c:v>
                </c:pt>
                <c:pt idx="275">
                  <c:v>96867.4</c:v>
                </c:pt>
                <c:pt idx="276">
                  <c:v>52698.94</c:v>
                </c:pt>
                <c:pt idx="277">
                  <c:v>186519.72</c:v>
                </c:pt>
                <c:pt idx="278">
                  <c:v>97209.96</c:v>
                </c:pt>
                <c:pt idx="279">
                  <c:v>85323.78</c:v>
                </c:pt>
                <c:pt idx="280">
                  <c:v>34861.199999999997</c:v>
                </c:pt>
                <c:pt idx="281">
                  <c:v>135764.76</c:v>
                </c:pt>
                <c:pt idx="282">
                  <c:v>185571.72</c:v>
                </c:pt>
                <c:pt idx="283">
                  <c:v>90068.24</c:v>
                </c:pt>
                <c:pt idx="284">
                  <c:v>81537</c:v>
                </c:pt>
                <c:pt idx="285">
                  <c:v>107665.89</c:v>
                </c:pt>
                <c:pt idx="286">
                  <c:v>214875.81</c:v>
                </c:pt>
                <c:pt idx="287">
                  <c:v>34200.58</c:v>
                </c:pt>
                <c:pt idx="288">
                  <c:v>106419.88</c:v>
                </c:pt>
                <c:pt idx="289">
                  <c:v>106181.75999999999</c:v>
                </c:pt>
                <c:pt idx="290">
                  <c:v>78828.600000000006</c:v>
                </c:pt>
                <c:pt idx="291">
                  <c:v>19210.3</c:v>
                </c:pt>
                <c:pt idx="292">
                  <c:v>25982</c:v>
                </c:pt>
                <c:pt idx="293">
                  <c:v>172829.92</c:v>
                </c:pt>
                <c:pt idx="294">
                  <c:v>199506.68</c:v>
                </c:pt>
                <c:pt idx="295">
                  <c:v>2599.12</c:v>
                </c:pt>
                <c:pt idx="296">
                  <c:v>26611.8</c:v>
                </c:pt>
                <c:pt idx="297">
                  <c:v>82132.92</c:v>
                </c:pt>
                <c:pt idx="298">
                  <c:v>171571.86</c:v>
                </c:pt>
                <c:pt idx="299">
                  <c:v>47545.65</c:v>
                </c:pt>
                <c:pt idx="300">
                  <c:v>7745.85</c:v>
                </c:pt>
                <c:pt idx="301">
                  <c:v>234450.42</c:v>
                </c:pt>
                <c:pt idx="302">
                  <c:v>49324.800000000003</c:v>
                </c:pt>
                <c:pt idx="303">
                  <c:v>203819.75</c:v>
                </c:pt>
                <c:pt idx="304">
                  <c:v>3727.43</c:v>
                </c:pt>
                <c:pt idx="305">
                  <c:v>187087.76</c:v>
                </c:pt>
                <c:pt idx="306">
                  <c:v>302455.37</c:v>
                </c:pt>
                <c:pt idx="307">
                  <c:v>17409.330000000002</c:v>
                </c:pt>
                <c:pt idx="308">
                  <c:v>123899.8</c:v>
                </c:pt>
                <c:pt idx="309">
                  <c:v>161107.04</c:v>
                </c:pt>
                <c:pt idx="310">
                  <c:v>138165.76000000001</c:v>
                </c:pt>
                <c:pt idx="311">
                  <c:v>49496.160000000003</c:v>
                </c:pt>
                <c:pt idx="312">
                  <c:v>343480.48</c:v>
                </c:pt>
                <c:pt idx="313">
                  <c:v>13776.48</c:v>
                </c:pt>
                <c:pt idx="314">
                  <c:v>129289.55</c:v>
                </c:pt>
                <c:pt idx="315">
                  <c:v>189276.52</c:v>
                </c:pt>
                <c:pt idx="316">
                  <c:v>43633.34</c:v>
                </c:pt>
                <c:pt idx="317">
                  <c:v>30227.94</c:v>
                </c:pt>
                <c:pt idx="318">
                  <c:v>199641.96</c:v>
                </c:pt>
                <c:pt idx="319">
                  <c:v>210037.8</c:v>
                </c:pt>
                <c:pt idx="320">
                  <c:v>162226.4</c:v>
                </c:pt>
                <c:pt idx="321">
                  <c:v>7741.12</c:v>
                </c:pt>
                <c:pt idx="322">
                  <c:v>113543.48</c:v>
                </c:pt>
                <c:pt idx="323">
                  <c:v>267104.88</c:v>
                </c:pt>
                <c:pt idx="324">
                  <c:v>1005.21</c:v>
                </c:pt>
                <c:pt idx="325">
                  <c:v>139501.79999999999</c:v>
                </c:pt>
                <c:pt idx="326">
                  <c:v>318554.40000000002</c:v>
                </c:pt>
                <c:pt idx="327">
                  <c:v>413892.18</c:v>
                </c:pt>
                <c:pt idx="328">
                  <c:v>134832.67000000001</c:v>
                </c:pt>
                <c:pt idx="329">
                  <c:v>177865.2</c:v>
                </c:pt>
                <c:pt idx="330">
                  <c:v>8988.44</c:v>
                </c:pt>
                <c:pt idx="331">
                  <c:v>167795.58</c:v>
                </c:pt>
                <c:pt idx="332">
                  <c:v>65068.15</c:v>
                </c:pt>
                <c:pt idx="333">
                  <c:v>63886.38</c:v>
                </c:pt>
                <c:pt idx="334">
                  <c:v>134115.70000000001</c:v>
                </c:pt>
                <c:pt idx="335">
                  <c:v>116373.8</c:v>
                </c:pt>
                <c:pt idx="336">
                  <c:v>192594.75</c:v>
                </c:pt>
                <c:pt idx="337">
                  <c:v>150743.16</c:v>
                </c:pt>
                <c:pt idx="338">
                  <c:v>425608.74</c:v>
                </c:pt>
                <c:pt idx="339">
                  <c:v>74620.36</c:v>
                </c:pt>
                <c:pt idx="340">
                  <c:v>137155.95000000001</c:v>
                </c:pt>
                <c:pt idx="341">
                  <c:v>215803.3</c:v>
                </c:pt>
                <c:pt idx="342">
                  <c:v>54661.599999999999</c:v>
                </c:pt>
                <c:pt idx="343">
                  <c:v>76444.38</c:v>
                </c:pt>
                <c:pt idx="344">
                  <c:v>109237.86</c:v>
                </c:pt>
                <c:pt idx="345">
                  <c:v>36943.51</c:v>
                </c:pt>
                <c:pt idx="346">
                  <c:v>67132.399999999994</c:v>
                </c:pt>
                <c:pt idx="347">
                  <c:v>64664.54</c:v>
                </c:pt>
                <c:pt idx="348">
                  <c:v>378037.6</c:v>
                </c:pt>
                <c:pt idx="349">
                  <c:v>127614.42</c:v>
                </c:pt>
                <c:pt idx="350">
                  <c:v>103361.36</c:v>
                </c:pt>
                <c:pt idx="351">
                  <c:v>8162.84</c:v>
                </c:pt>
                <c:pt idx="352">
                  <c:v>245061.25</c:v>
                </c:pt>
                <c:pt idx="353">
                  <c:v>97693.35</c:v>
                </c:pt>
                <c:pt idx="354">
                  <c:v>5053.68</c:v>
                </c:pt>
                <c:pt idx="355">
                  <c:v>86401.08</c:v>
                </c:pt>
                <c:pt idx="356">
                  <c:v>113857.04</c:v>
                </c:pt>
                <c:pt idx="357">
                  <c:v>203412.5</c:v>
                </c:pt>
                <c:pt idx="358">
                  <c:v>318362.73</c:v>
                </c:pt>
                <c:pt idx="359">
                  <c:v>256457.76</c:v>
                </c:pt>
                <c:pt idx="360">
                  <c:v>190106.9</c:v>
                </c:pt>
                <c:pt idx="361">
                  <c:v>156221.6</c:v>
                </c:pt>
                <c:pt idx="362">
                  <c:v>299131.56</c:v>
                </c:pt>
                <c:pt idx="363">
                  <c:v>44751.42</c:v>
                </c:pt>
                <c:pt idx="364">
                  <c:v>474935.9</c:v>
                </c:pt>
                <c:pt idx="365">
                  <c:v>368979.6</c:v>
                </c:pt>
                <c:pt idx="366">
                  <c:v>93084.36</c:v>
                </c:pt>
                <c:pt idx="367">
                  <c:v>97972.96</c:v>
                </c:pt>
                <c:pt idx="368">
                  <c:v>128393.8</c:v>
                </c:pt>
                <c:pt idx="369">
                  <c:v>6050.27</c:v>
                </c:pt>
                <c:pt idx="370">
                  <c:v>85037.6</c:v>
                </c:pt>
                <c:pt idx="371">
                  <c:v>91224.84</c:v>
                </c:pt>
                <c:pt idx="372">
                  <c:v>157813.84</c:v>
                </c:pt>
                <c:pt idx="373">
                  <c:v>56623.16</c:v>
                </c:pt>
                <c:pt idx="374">
                  <c:v>34541.879999999997</c:v>
                </c:pt>
                <c:pt idx="375">
                  <c:v>128637.6</c:v>
                </c:pt>
                <c:pt idx="376">
                  <c:v>105764.6</c:v>
                </c:pt>
                <c:pt idx="377">
                  <c:v>146990.9</c:v>
                </c:pt>
                <c:pt idx="378">
                  <c:v>78327.66</c:v>
                </c:pt>
                <c:pt idx="379">
                  <c:v>421025.22</c:v>
                </c:pt>
                <c:pt idx="380">
                  <c:v>239811.81</c:v>
                </c:pt>
                <c:pt idx="381">
                  <c:v>119390.88</c:v>
                </c:pt>
                <c:pt idx="382">
                  <c:v>78764.800000000003</c:v>
                </c:pt>
                <c:pt idx="383">
                  <c:v>349767.9</c:v>
                </c:pt>
                <c:pt idx="384">
                  <c:v>309378.71999999997</c:v>
                </c:pt>
                <c:pt idx="385">
                  <c:v>48695.59</c:v>
                </c:pt>
                <c:pt idx="386">
                  <c:v>376842.87</c:v>
                </c:pt>
                <c:pt idx="387">
                  <c:v>157078.85999999999</c:v>
                </c:pt>
                <c:pt idx="388">
                  <c:v>23398.57</c:v>
                </c:pt>
                <c:pt idx="389">
                  <c:v>122982.8</c:v>
                </c:pt>
                <c:pt idx="390">
                  <c:v>35804.49</c:v>
                </c:pt>
                <c:pt idx="391">
                  <c:v>108717.45</c:v>
                </c:pt>
                <c:pt idx="392">
                  <c:v>105715.35</c:v>
                </c:pt>
                <c:pt idx="393">
                  <c:v>242216.48</c:v>
                </c:pt>
                <c:pt idx="394">
                  <c:v>165058.23999999999</c:v>
                </c:pt>
                <c:pt idx="395">
                  <c:v>58809.5</c:v>
                </c:pt>
                <c:pt idx="396">
                  <c:v>439266.33</c:v>
                </c:pt>
                <c:pt idx="397">
                  <c:v>7583.96</c:v>
                </c:pt>
                <c:pt idx="398">
                  <c:v>78808.86</c:v>
                </c:pt>
                <c:pt idx="399">
                  <c:v>3586.58</c:v>
                </c:pt>
                <c:pt idx="400">
                  <c:v>91115.3</c:v>
                </c:pt>
                <c:pt idx="401">
                  <c:v>306956.37</c:v>
                </c:pt>
                <c:pt idx="402">
                  <c:v>15617.29</c:v>
                </c:pt>
                <c:pt idx="403">
                  <c:v>72124.72</c:v>
                </c:pt>
                <c:pt idx="404">
                  <c:v>48389.919999999998</c:v>
                </c:pt>
                <c:pt idx="405">
                  <c:v>138761.82</c:v>
                </c:pt>
                <c:pt idx="406">
                  <c:v>22534.47</c:v>
                </c:pt>
                <c:pt idx="407">
                  <c:v>115016.4</c:v>
                </c:pt>
                <c:pt idx="408">
                  <c:v>33098.300000000003</c:v>
                </c:pt>
                <c:pt idx="409">
                  <c:v>28924.68</c:v>
                </c:pt>
                <c:pt idx="410">
                  <c:v>144413.9</c:v>
                </c:pt>
                <c:pt idx="411">
                  <c:v>158544.6</c:v>
                </c:pt>
                <c:pt idx="412">
                  <c:v>66336</c:v>
                </c:pt>
                <c:pt idx="413">
                  <c:v>190335.12</c:v>
                </c:pt>
                <c:pt idx="414">
                  <c:v>74970.27</c:v>
                </c:pt>
                <c:pt idx="415">
                  <c:v>160299.54</c:v>
                </c:pt>
                <c:pt idx="416">
                  <c:v>230511.44</c:v>
                </c:pt>
                <c:pt idx="417">
                  <c:v>4418.8599999999997</c:v>
                </c:pt>
                <c:pt idx="418">
                  <c:v>1144.78</c:v>
                </c:pt>
                <c:pt idx="419">
                  <c:v>132611.45000000001</c:v>
                </c:pt>
                <c:pt idx="420">
                  <c:v>51751.06</c:v>
                </c:pt>
                <c:pt idx="421">
                  <c:v>334585.34999999998</c:v>
                </c:pt>
                <c:pt idx="422">
                  <c:v>3156.7</c:v>
                </c:pt>
                <c:pt idx="423">
                  <c:v>30640.69</c:v>
                </c:pt>
                <c:pt idx="424">
                  <c:v>187463.04000000001</c:v>
                </c:pt>
                <c:pt idx="425">
                  <c:v>87892.59</c:v>
                </c:pt>
                <c:pt idx="426">
                  <c:v>203569.62</c:v>
                </c:pt>
                <c:pt idx="427">
                  <c:v>83144.7</c:v>
                </c:pt>
                <c:pt idx="428">
                  <c:v>268238.34000000003</c:v>
                </c:pt>
                <c:pt idx="429">
                  <c:v>110511.99</c:v>
                </c:pt>
                <c:pt idx="430">
                  <c:v>30364.5</c:v>
                </c:pt>
                <c:pt idx="431">
                  <c:v>84855.86</c:v>
                </c:pt>
                <c:pt idx="432">
                  <c:v>439972.2</c:v>
                </c:pt>
                <c:pt idx="433">
                  <c:v>28812.06</c:v>
                </c:pt>
                <c:pt idx="434">
                  <c:v>1229.02</c:v>
                </c:pt>
                <c:pt idx="435">
                  <c:v>88586.31</c:v>
                </c:pt>
                <c:pt idx="436">
                  <c:v>223776.99</c:v>
                </c:pt>
                <c:pt idx="437">
                  <c:v>93549.04</c:v>
                </c:pt>
                <c:pt idx="438">
                  <c:v>11976.34</c:v>
                </c:pt>
                <c:pt idx="439">
                  <c:v>3839.04</c:v>
                </c:pt>
                <c:pt idx="440">
                  <c:v>15733.65</c:v>
                </c:pt>
                <c:pt idx="441">
                  <c:v>236398.82</c:v>
                </c:pt>
                <c:pt idx="442">
                  <c:v>85028.43</c:v>
                </c:pt>
                <c:pt idx="443">
                  <c:v>242289.7</c:v>
                </c:pt>
                <c:pt idx="444">
                  <c:v>82193.5</c:v>
                </c:pt>
                <c:pt idx="445">
                  <c:v>174736.89</c:v>
                </c:pt>
                <c:pt idx="446">
                  <c:v>34616.519999999997</c:v>
                </c:pt>
                <c:pt idx="447">
                  <c:v>131685.75</c:v>
                </c:pt>
                <c:pt idx="448">
                  <c:v>439469.6</c:v>
                </c:pt>
                <c:pt idx="449">
                  <c:v>244608</c:v>
                </c:pt>
                <c:pt idx="450">
                  <c:v>226028.39</c:v>
                </c:pt>
                <c:pt idx="451">
                  <c:v>36307.74</c:v>
                </c:pt>
                <c:pt idx="452">
                  <c:v>5815.69</c:v>
                </c:pt>
                <c:pt idx="453">
                  <c:v>47927.360000000001</c:v>
                </c:pt>
                <c:pt idx="454">
                  <c:v>246529.68</c:v>
                </c:pt>
                <c:pt idx="455">
                  <c:v>91618.18</c:v>
                </c:pt>
                <c:pt idx="456">
                  <c:v>71273.3</c:v>
                </c:pt>
                <c:pt idx="457">
                  <c:v>372913.47</c:v>
                </c:pt>
                <c:pt idx="458">
                  <c:v>144969.64000000001</c:v>
                </c:pt>
                <c:pt idx="459">
                  <c:v>139084.79999999999</c:v>
                </c:pt>
                <c:pt idx="460">
                  <c:v>9009.36</c:v>
                </c:pt>
                <c:pt idx="461">
                  <c:v>216126.48</c:v>
                </c:pt>
                <c:pt idx="462">
                  <c:v>440456.6</c:v>
                </c:pt>
                <c:pt idx="463">
                  <c:v>124790.55</c:v>
                </c:pt>
                <c:pt idx="464">
                  <c:v>189183.33</c:v>
                </c:pt>
                <c:pt idx="465">
                  <c:v>170899.98</c:v>
                </c:pt>
                <c:pt idx="466">
                  <c:v>176483.04</c:v>
                </c:pt>
                <c:pt idx="467">
                  <c:v>153670.14000000001</c:v>
                </c:pt>
                <c:pt idx="468">
                  <c:v>42816.6</c:v>
                </c:pt>
                <c:pt idx="469">
                  <c:v>135856.56</c:v>
                </c:pt>
                <c:pt idx="470">
                  <c:v>324318.12</c:v>
                </c:pt>
                <c:pt idx="471">
                  <c:v>275300.2</c:v>
                </c:pt>
                <c:pt idx="472">
                  <c:v>48583.48</c:v>
                </c:pt>
                <c:pt idx="473">
                  <c:v>66288.95</c:v>
                </c:pt>
                <c:pt idx="474">
                  <c:v>163606.70000000001</c:v>
                </c:pt>
                <c:pt idx="475">
                  <c:v>242884.38</c:v>
                </c:pt>
                <c:pt idx="476">
                  <c:v>1495.14</c:v>
                </c:pt>
                <c:pt idx="477">
                  <c:v>70840.92</c:v>
                </c:pt>
                <c:pt idx="478">
                  <c:v>311660.71999999997</c:v>
                </c:pt>
                <c:pt idx="479">
                  <c:v>8286.5400000000009</c:v>
                </c:pt>
                <c:pt idx="480">
                  <c:v>67601.66</c:v>
                </c:pt>
                <c:pt idx="481">
                  <c:v>16453.599999999999</c:v>
                </c:pt>
                <c:pt idx="482">
                  <c:v>242974.8</c:v>
                </c:pt>
                <c:pt idx="483">
                  <c:v>45338.400000000001</c:v>
                </c:pt>
                <c:pt idx="484">
                  <c:v>278427.28000000003</c:v>
                </c:pt>
                <c:pt idx="485">
                  <c:v>82110.87</c:v>
                </c:pt>
                <c:pt idx="486">
                  <c:v>39406.86</c:v>
                </c:pt>
                <c:pt idx="487">
                  <c:v>249899.04</c:v>
                </c:pt>
                <c:pt idx="488">
                  <c:v>167677.65</c:v>
                </c:pt>
                <c:pt idx="489">
                  <c:v>432103.32</c:v>
                </c:pt>
                <c:pt idx="490">
                  <c:v>189759.6</c:v>
                </c:pt>
                <c:pt idx="491">
                  <c:v>111006.18</c:v>
                </c:pt>
                <c:pt idx="492">
                  <c:v>100147.38</c:v>
                </c:pt>
                <c:pt idx="493">
                  <c:v>81607.25</c:v>
                </c:pt>
                <c:pt idx="494">
                  <c:v>767.61</c:v>
                </c:pt>
                <c:pt idx="495">
                  <c:v>150898.88</c:v>
                </c:pt>
                <c:pt idx="496">
                  <c:v>95386.66</c:v>
                </c:pt>
                <c:pt idx="497">
                  <c:v>99704.97</c:v>
                </c:pt>
                <c:pt idx="498">
                  <c:v>65413.26</c:v>
                </c:pt>
                <c:pt idx="499">
                  <c:v>107028.9</c:v>
                </c:pt>
                <c:pt idx="500">
                  <c:v>26647.599999999999</c:v>
                </c:pt>
                <c:pt idx="501">
                  <c:v>110260.04</c:v>
                </c:pt>
                <c:pt idx="502">
                  <c:v>40225.629999999997</c:v>
                </c:pt>
                <c:pt idx="503">
                  <c:v>12494.97</c:v>
                </c:pt>
                <c:pt idx="504">
                  <c:v>121322.16</c:v>
                </c:pt>
                <c:pt idx="505">
                  <c:v>253864</c:v>
                </c:pt>
                <c:pt idx="506">
                  <c:v>23973.18</c:v>
                </c:pt>
                <c:pt idx="507">
                  <c:v>376981.83</c:v>
                </c:pt>
                <c:pt idx="508">
                  <c:v>70625.7</c:v>
                </c:pt>
                <c:pt idx="509">
                  <c:v>80289.8</c:v>
                </c:pt>
                <c:pt idx="510">
                  <c:v>348147.24</c:v>
                </c:pt>
                <c:pt idx="511">
                  <c:v>101845.28</c:v>
                </c:pt>
                <c:pt idx="512">
                  <c:v>30210.720000000001</c:v>
                </c:pt>
                <c:pt idx="513">
                  <c:v>252904.44</c:v>
                </c:pt>
                <c:pt idx="514">
                  <c:v>16249.69</c:v>
                </c:pt>
                <c:pt idx="515">
                  <c:v>98418.06</c:v>
                </c:pt>
                <c:pt idx="516">
                  <c:v>139534.07999999999</c:v>
                </c:pt>
                <c:pt idx="517">
                  <c:v>146639.60999999999</c:v>
                </c:pt>
                <c:pt idx="518">
                  <c:v>64916.12</c:v>
                </c:pt>
                <c:pt idx="519">
                  <c:v>288940.95</c:v>
                </c:pt>
                <c:pt idx="520">
                  <c:v>105954.6</c:v>
                </c:pt>
                <c:pt idx="521">
                  <c:v>47870.04</c:v>
                </c:pt>
                <c:pt idx="522">
                  <c:v>47848</c:v>
                </c:pt>
                <c:pt idx="523">
                  <c:v>5263.79</c:v>
                </c:pt>
                <c:pt idx="524">
                  <c:v>45333.96</c:v>
                </c:pt>
                <c:pt idx="525">
                  <c:v>97801.84</c:v>
                </c:pt>
                <c:pt idx="526">
                  <c:v>124324.34</c:v>
                </c:pt>
                <c:pt idx="527">
                  <c:v>48906.12</c:v>
                </c:pt>
                <c:pt idx="528">
                  <c:v>112630.77</c:v>
                </c:pt>
                <c:pt idx="529">
                  <c:v>40250.629999999997</c:v>
                </c:pt>
                <c:pt idx="530">
                  <c:v>144095.70000000001</c:v>
                </c:pt>
                <c:pt idx="531">
                  <c:v>362370.56</c:v>
                </c:pt>
                <c:pt idx="532">
                  <c:v>125182.65</c:v>
                </c:pt>
                <c:pt idx="533">
                  <c:v>107330.05</c:v>
                </c:pt>
                <c:pt idx="534">
                  <c:v>57013.62</c:v>
                </c:pt>
                <c:pt idx="535">
                  <c:v>184192.74</c:v>
                </c:pt>
                <c:pt idx="536">
                  <c:v>19382.82</c:v>
                </c:pt>
                <c:pt idx="537">
                  <c:v>81639.899999999994</c:v>
                </c:pt>
                <c:pt idx="538">
                  <c:v>54878.34</c:v>
                </c:pt>
                <c:pt idx="539">
                  <c:v>240883.83</c:v>
                </c:pt>
                <c:pt idx="540">
                  <c:v>48215.86</c:v>
                </c:pt>
                <c:pt idx="541">
                  <c:v>299334.78000000003</c:v>
                </c:pt>
                <c:pt idx="542">
                  <c:v>156203.51999999999</c:v>
                </c:pt>
                <c:pt idx="543">
                  <c:v>14634.25</c:v>
                </c:pt>
                <c:pt idx="544">
                  <c:v>231048.23</c:v>
                </c:pt>
                <c:pt idx="545">
                  <c:v>419975.28</c:v>
                </c:pt>
                <c:pt idx="546">
                  <c:v>32636.43</c:v>
                </c:pt>
                <c:pt idx="547">
                  <c:v>105473.12</c:v>
                </c:pt>
                <c:pt idx="548">
                  <c:v>207547.7</c:v>
                </c:pt>
                <c:pt idx="549">
                  <c:v>54089.48</c:v>
                </c:pt>
                <c:pt idx="550">
                  <c:v>70227.960000000006</c:v>
                </c:pt>
                <c:pt idx="551">
                  <c:v>190160.1</c:v>
                </c:pt>
                <c:pt idx="552">
                  <c:v>338531.22</c:v>
                </c:pt>
                <c:pt idx="553">
                  <c:v>74022.240000000005</c:v>
                </c:pt>
                <c:pt idx="554">
                  <c:v>126104.76</c:v>
                </c:pt>
                <c:pt idx="555">
                  <c:v>9639.44</c:v>
                </c:pt>
                <c:pt idx="556">
                  <c:v>254734.06</c:v>
                </c:pt>
                <c:pt idx="557">
                  <c:v>34604.6</c:v>
                </c:pt>
                <c:pt idx="558">
                  <c:v>66134.2</c:v>
                </c:pt>
                <c:pt idx="559">
                  <c:v>141401.85</c:v>
                </c:pt>
                <c:pt idx="560">
                  <c:v>6150.86</c:v>
                </c:pt>
                <c:pt idx="561">
                  <c:v>107697.64</c:v>
                </c:pt>
                <c:pt idx="562">
                  <c:v>18903.96</c:v>
                </c:pt>
                <c:pt idx="563">
                  <c:v>396906.8</c:v>
                </c:pt>
                <c:pt idx="564">
                  <c:v>217967.64</c:v>
                </c:pt>
                <c:pt idx="565">
                  <c:v>215478.9</c:v>
                </c:pt>
                <c:pt idx="566">
                  <c:v>261998.07999999999</c:v>
                </c:pt>
                <c:pt idx="567">
                  <c:v>432513</c:v>
                </c:pt>
                <c:pt idx="568">
                  <c:v>143245.35</c:v>
                </c:pt>
                <c:pt idx="569">
                  <c:v>65107.76</c:v>
                </c:pt>
                <c:pt idx="570">
                  <c:v>100104.3</c:v>
                </c:pt>
                <c:pt idx="571">
                  <c:v>78010.539999999994</c:v>
                </c:pt>
                <c:pt idx="572">
                  <c:v>98080.92</c:v>
                </c:pt>
                <c:pt idx="573">
                  <c:v>15439.6</c:v>
                </c:pt>
                <c:pt idx="574">
                  <c:v>294353.64</c:v>
                </c:pt>
                <c:pt idx="575">
                  <c:v>2892.4</c:v>
                </c:pt>
                <c:pt idx="576">
                  <c:v>107775.6</c:v>
                </c:pt>
                <c:pt idx="577">
                  <c:v>186072.9</c:v>
                </c:pt>
                <c:pt idx="578">
                  <c:v>211945.9</c:v>
                </c:pt>
                <c:pt idx="579">
                  <c:v>359775.2</c:v>
                </c:pt>
                <c:pt idx="580">
                  <c:v>104186</c:v>
                </c:pt>
                <c:pt idx="581">
                  <c:v>130702.11</c:v>
                </c:pt>
                <c:pt idx="582">
                  <c:v>97826.15</c:v>
                </c:pt>
                <c:pt idx="583">
                  <c:v>38212.75</c:v>
                </c:pt>
                <c:pt idx="584">
                  <c:v>154420</c:v>
                </c:pt>
                <c:pt idx="585">
                  <c:v>40148.6</c:v>
                </c:pt>
                <c:pt idx="586">
                  <c:v>10884.12</c:v>
                </c:pt>
                <c:pt idx="587">
                  <c:v>228955.74</c:v>
                </c:pt>
                <c:pt idx="588">
                  <c:v>18229</c:v>
                </c:pt>
                <c:pt idx="589">
                  <c:v>29313.46</c:v>
                </c:pt>
                <c:pt idx="590">
                  <c:v>3859.08</c:v>
                </c:pt>
                <c:pt idx="591">
                  <c:v>23787.599999999999</c:v>
                </c:pt>
                <c:pt idx="592">
                  <c:v>23934.94</c:v>
                </c:pt>
                <c:pt idx="593">
                  <c:v>141646.92000000001</c:v>
                </c:pt>
                <c:pt idx="594">
                  <c:v>15515.24</c:v>
                </c:pt>
                <c:pt idx="595">
                  <c:v>6280.83</c:v>
                </c:pt>
                <c:pt idx="596">
                  <c:v>208572.3</c:v>
                </c:pt>
                <c:pt idx="597">
                  <c:v>28766.560000000001</c:v>
                </c:pt>
                <c:pt idx="598">
                  <c:v>141013.88</c:v>
                </c:pt>
                <c:pt idx="599">
                  <c:v>153103.75</c:v>
                </c:pt>
                <c:pt idx="600">
                  <c:v>350597.34</c:v>
                </c:pt>
                <c:pt idx="601">
                  <c:v>15069.36</c:v>
                </c:pt>
                <c:pt idx="602">
                  <c:v>23158</c:v>
                </c:pt>
                <c:pt idx="603">
                  <c:v>370228.72</c:v>
                </c:pt>
                <c:pt idx="604">
                  <c:v>29540.26</c:v>
                </c:pt>
                <c:pt idx="605">
                  <c:v>270574.5</c:v>
                </c:pt>
                <c:pt idx="606">
                  <c:v>83149.52</c:v>
                </c:pt>
                <c:pt idx="607">
                  <c:v>155811.12</c:v>
                </c:pt>
                <c:pt idx="608">
                  <c:v>17070.849999999999</c:v>
                </c:pt>
                <c:pt idx="609">
                  <c:v>35903.14</c:v>
                </c:pt>
                <c:pt idx="610">
                  <c:v>47539.35</c:v>
                </c:pt>
                <c:pt idx="611">
                  <c:v>109792.04</c:v>
                </c:pt>
                <c:pt idx="612">
                  <c:v>22073.4</c:v>
                </c:pt>
                <c:pt idx="613">
                  <c:v>359892.18</c:v>
                </c:pt>
                <c:pt idx="614">
                  <c:v>69239.88</c:v>
                </c:pt>
                <c:pt idx="615">
                  <c:v>126402.03</c:v>
                </c:pt>
                <c:pt idx="616">
                  <c:v>87386.72</c:v>
                </c:pt>
                <c:pt idx="617">
                  <c:v>28362.94</c:v>
                </c:pt>
                <c:pt idx="618">
                  <c:v>115132.52</c:v>
                </c:pt>
                <c:pt idx="619">
                  <c:v>64865.3</c:v>
                </c:pt>
                <c:pt idx="620">
                  <c:v>119906.32</c:v>
                </c:pt>
                <c:pt idx="621">
                  <c:v>266207.48</c:v>
                </c:pt>
                <c:pt idx="622">
                  <c:v>482551.9</c:v>
                </c:pt>
                <c:pt idx="623">
                  <c:v>251740.53</c:v>
                </c:pt>
                <c:pt idx="624">
                  <c:v>420808.14</c:v>
                </c:pt>
                <c:pt idx="625">
                  <c:v>142398.54</c:v>
                </c:pt>
                <c:pt idx="626">
                  <c:v>33193.9</c:v>
                </c:pt>
                <c:pt idx="627">
                  <c:v>46021.88</c:v>
                </c:pt>
                <c:pt idx="628">
                  <c:v>318588.55</c:v>
                </c:pt>
                <c:pt idx="629">
                  <c:v>422321.22</c:v>
                </c:pt>
                <c:pt idx="630">
                  <c:v>112029.57</c:v>
                </c:pt>
                <c:pt idx="631">
                  <c:v>141759.6</c:v>
                </c:pt>
                <c:pt idx="632">
                  <c:v>58079.12</c:v>
                </c:pt>
                <c:pt idx="633">
                  <c:v>771.84</c:v>
                </c:pt>
                <c:pt idx="634">
                  <c:v>97167.28</c:v>
                </c:pt>
                <c:pt idx="635">
                  <c:v>51838.36</c:v>
                </c:pt>
                <c:pt idx="636">
                  <c:v>97529.68</c:v>
                </c:pt>
                <c:pt idx="637">
                  <c:v>3971.35</c:v>
                </c:pt>
                <c:pt idx="638">
                  <c:v>38696.65</c:v>
                </c:pt>
                <c:pt idx="639">
                  <c:v>34302.92</c:v>
                </c:pt>
                <c:pt idx="640">
                  <c:v>20626.25</c:v>
                </c:pt>
                <c:pt idx="641">
                  <c:v>355910.49</c:v>
                </c:pt>
                <c:pt idx="642">
                  <c:v>70470.990000000005</c:v>
                </c:pt>
                <c:pt idx="643">
                  <c:v>134060.64000000001</c:v>
                </c:pt>
                <c:pt idx="644">
                  <c:v>81396.850000000006</c:v>
                </c:pt>
                <c:pt idx="645">
                  <c:v>106265.28</c:v>
                </c:pt>
                <c:pt idx="646">
                  <c:v>11206.86</c:v>
                </c:pt>
                <c:pt idx="647">
                  <c:v>221067.8</c:v>
                </c:pt>
                <c:pt idx="648">
                  <c:v>22401.119999999999</c:v>
                </c:pt>
                <c:pt idx="649">
                  <c:v>192834.67</c:v>
                </c:pt>
                <c:pt idx="650">
                  <c:v>229527.7</c:v>
                </c:pt>
                <c:pt idx="651">
                  <c:v>211333.38</c:v>
                </c:pt>
                <c:pt idx="652">
                  <c:v>129925.28</c:v>
                </c:pt>
                <c:pt idx="653">
                  <c:v>12255.87</c:v>
                </c:pt>
                <c:pt idx="654">
                  <c:v>300593.15999999997</c:v>
                </c:pt>
                <c:pt idx="655">
                  <c:v>103074.8</c:v>
                </c:pt>
                <c:pt idx="656">
                  <c:v>462701.3</c:v>
                </c:pt>
                <c:pt idx="657">
                  <c:v>167620.15</c:v>
                </c:pt>
                <c:pt idx="658">
                  <c:v>76131.679999999993</c:v>
                </c:pt>
                <c:pt idx="659">
                  <c:v>84656.2</c:v>
                </c:pt>
                <c:pt idx="660">
                  <c:v>14491.62</c:v>
                </c:pt>
                <c:pt idx="661">
                  <c:v>175604.15</c:v>
                </c:pt>
                <c:pt idx="662">
                  <c:v>184654.44</c:v>
                </c:pt>
                <c:pt idx="663">
                  <c:v>191186.12</c:v>
                </c:pt>
                <c:pt idx="664">
                  <c:v>270087.15999999997</c:v>
                </c:pt>
                <c:pt idx="665">
                  <c:v>230210.46</c:v>
                </c:pt>
                <c:pt idx="666">
                  <c:v>193199.4</c:v>
                </c:pt>
                <c:pt idx="667">
                  <c:v>62003.61</c:v>
                </c:pt>
                <c:pt idx="668">
                  <c:v>412680.6</c:v>
                </c:pt>
                <c:pt idx="669">
                  <c:v>140328.85</c:v>
                </c:pt>
                <c:pt idx="670">
                  <c:v>202154</c:v>
                </c:pt>
                <c:pt idx="671">
                  <c:v>63231.28</c:v>
                </c:pt>
                <c:pt idx="672">
                  <c:v>17212.990000000002</c:v>
                </c:pt>
                <c:pt idx="673">
                  <c:v>14756.18</c:v>
                </c:pt>
                <c:pt idx="674">
                  <c:v>108470.6</c:v>
                </c:pt>
                <c:pt idx="675">
                  <c:v>45063.040000000001</c:v>
                </c:pt>
                <c:pt idx="676">
                  <c:v>84805.75</c:v>
                </c:pt>
                <c:pt idx="677">
                  <c:v>52501.23</c:v>
                </c:pt>
                <c:pt idx="678">
                  <c:v>237005.1</c:v>
                </c:pt>
                <c:pt idx="679">
                  <c:v>85364.44</c:v>
                </c:pt>
                <c:pt idx="680">
                  <c:v>392423.76</c:v>
                </c:pt>
                <c:pt idx="681">
                  <c:v>90746.36</c:v>
                </c:pt>
                <c:pt idx="682">
                  <c:v>172543</c:v>
                </c:pt>
                <c:pt idx="683">
                  <c:v>151195.45000000001</c:v>
                </c:pt>
                <c:pt idx="684">
                  <c:v>120078.24</c:v>
                </c:pt>
                <c:pt idx="685">
                  <c:v>121791.05</c:v>
                </c:pt>
                <c:pt idx="686">
                  <c:v>99838.56</c:v>
                </c:pt>
                <c:pt idx="687">
                  <c:v>144829.17000000001</c:v>
                </c:pt>
                <c:pt idx="688">
                  <c:v>360621.09</c:v>
                </c:pt>
                <c:pt idx="689">
                  <c:v>287434.34999999998</c:v>
                </c:pt>
                <c:pt idx="690">
                  <c:v>285282.83</c:v>
                </c:pt>
                <c:pt idx="691">
                  <c:v>458774.9</c:v>
                </c:pt>
                <c:pt idx="692">
                  <c:v>104971.05</c:v>
                </c:pt>
                <c:pt idx="693">
                  <c:v>6430.22</c:v>
                </c:pt>
                <c:pt idx="694">
                  <c:v>107745.36</c:v>
                </c:pt>
                <c:pt idx="695">
                  <c:v>265230.90000000002</c:v>
                </c:pt>
                <c:pt idx="696">
                  <c:v>124305.24</c:v>
                </c:pt>
                <c:pt idx="697">
                  <c:v>175457.4</c:v>
                </c:pt>
                <c:pt idx="698">
                  <c:v>106274.97</c:v>
                </c:pt>
                <c:pt idx="699">
                  <c:v>76256.639999999999</c:v>
                </c:pt>
                <c:pt idx="700">
                  <c:v>254006.73</c:v>
                </c:pt>
                <c:pt idx="701">
                  <c:v>130323.36</c:v>
                </c:pt>
                <c:pt idx="702">
                  <c:v>13705.83</c:v>
                </c:pt>
                <c:pt idx="703">
                  <c:v>34477.47</c:v>
                </c:pt>
                <c:pt idx="704">
                  <c:v>69756.240000000005</c:v>
                </c:pt>
                <c:pt idx="705">
                  <c:v>285180.93</c:v>
                </c:pt>
                <c:pt idx="706">
                  <c:v>74556.42</c:v>
                </c:pt>
                <c:pt idx="707">
                  <c:v>76084.800000000003</c:v>
                </c:pt>
                <c:pt idx="708">
                  <c:v>70818.679999999993</c:v>
                </c:pt>
                <c:pt idx="709">
                  <c:v>113673.3</c:v>
                </c:pt>
                <c:pt idx="710">
                  <c:v>217666.56</c:v>
                </c:pt>
                <c:pt idx="711">
                  <c:v>167313.48000000001</c:v>
                </c:pt>
                <c:pt idx="712">
                  <c:v>470798.6</c:v>
                </c:pt>
                <c:pt idx="713">
                  <c:v>60403.62</c:v>
                </c:pt>
                <c:pt idx="714">
                  <c:v>197341.68</c:v>
                </c:pt>
                <c:pt idx="715">
                  <c:v>39342.980000000003</c:v>
                </c:pt>
                <c:pt idx="716">
                  <c:v>210571.1</c:v>
                </c:pt>
                <c:pt idx="717">
                  <c:v>75059.95</c:v>
                </c:pt>
                <c:pt idx="718">
                  <c:v>170570.36</c:v>
                </c:pt>
                <c:pt idx="719">
                  <c:v>163012.74</c:v>
                </c:pt>
                <c:pt idx="720">
                  <c:v>220973.34</c:v>
                </c:pt>
                <c:pt idx="721">
                  <c:v>444016.4</c:v>
                </c:pt>
                <c:pt idx="722">
                  <c:v>10934.02</c:v>
                </c:pt>
                <c:pt idx="723">
                  <c:v>284448.64000000001</c:v>
                </c:pt>
                <c:pt idx="724">
                  <c:v>188413.61</c:v>
                </c:pt>
                <c:pt idx="725">
                  <c:v>122047.5</c:v>
                </c:pt>
                <c:pt idx="726">
                  <c:v>196003.1</c:v>
                </c:pt>
                <c:pt idx="727">
                  <c:v>120358.95</c:v>
                </c:pt>
                <c:pt idx="728">
                  <c:v>165937.79999999999</c:v>
                </c:pt>
                <c:pt idx="729">
                  <c:v>80421.119999999995</c:v>
                </c:pt>
                <c:pt idx="730">
                  <c:v>19202.88</c:v>
                </c:pt>
                <c:pt idx="731">
                  <c:v>162512.76</c:v>
                </c:pt>
                <c:pt idx="732">
                  <c:v>73387.62</c:v>
                </c:pt>
                <c:pt idx="733">
                  <c:v>152156.34</c:v>
                </c:pt>
                <c:pt idx="734">
                  <c:v>115263.96</c:v>
                </c:pt>
                <c:pt idx="735">
                  <c:v>2070.65</c:v>
                </c:pt>
                <c:pt idx="736">
                  <c:v>58568.76</c:v>
                </c:pt>
                <c:pt idx="737">
                  <c:v>77138.399999999994</c:v>
                </c:pt>
                <c:pt idx="738">
                  <c:v>84392.92</c:v>
                </c:pt>
                <c:pt idx="739">
                  <c:v>3753.78</c:v>
                </c:pt>
                <c:pt idx="740">
                  <c:v>63588.21</c:v>
                </c:pt>
                <c:pt idx="741">
                  <c:v>137878.74</c:v>
                </c:pt>
                <c:pt idx="742">
                  <c:v>69539.12</c:v>
                </c:pt>
                <c:pt idx="743">
                  <c:v>319922.96000000002</c:v>
                </c:pt>
                <c:pt idx="744">
                  <c:v>123894.12</c:v>
                </c:pt>
                <c:pt idx="745">
                  <c:v>245737.05</c:v>
                </c:pt>
                <c:pt idx="746">
                  <c:v>175335.5</c:v>
                </c:pt>
                <c:pt idx="747">
                  <c:v>92286.1</c:v>
                </c:pt>
                <c:pt idx="748">
                  <c:v>438080.6</c:v>
                </c:pt>
                <c:pt idx="749">
                  <c:v>146255.57999999999</c:v>
                </c:pt>
                <c:pt idx="750">
                  <c:v>139876.07999999999</c:v>
                </c:pt>
                <c:pt idx="751">
                  <c:v>17299.04</c:v>
                </c:pt>
                <c:pt idx="752">
                  <c:v>51372.25</c:v>
                </c:pt>
                <c:pt idx="753">
                  <c:v>242701.7</c:v>
                </c:pt>
                <c:pt idx="754">
                  <c:v>20669.3</c:v>
                </c:pt>
                <c:pt idx="755">
                  <c:v>133044.70000000001</c:v>
                </c:pt>
                <c:pt idx="756">
                  <c:v>47212.5</c:v>
                </c:pt>
                <c:pt idx="757">
                  <c:v>256986.2</c:v>
                </c:pt>
                <c:pt idx="758">
                  <c:v>257759.6</c:v>
                </c:pt>
                <c:pt idx="759">
                  <c:v>29862.400000000001</c:v>
                </c:pt>
                <c:pt idx="760">
                  <c:v>163132.56</c:v>
                </c:pt>
                <c:pt idx="761">
                  <c:v>89124.800000000003</c:v>
                </c:pt>
                <c:pt idx="762">
                  <c:v>492174.1</c:v>
                </c:pt>
                <c:pt idx="763">
                  <c:v>73262.460000000006</c:v>
                </c:pt>
                <c:pt idx="764">
                  <c:v>16650.75</c:v>
                </c:pt>
                <c:pt idx="765">
                  <c:v>12225.22</c:v>
                </c:pt>
                <c:pt idx="766">
                  <c:v>198199.5</c:v>
                </c:pt>
                <c:pt idx="767">
                  <c:v>42736.43</c:v>
                </c:pt>
                <c:pt idx="768">
                  <c:v>72852.100000000006</c:v>
                </c:pt>
                <c:pt idx="769">
                  <c:v>12121.61</c:v>
                </c:pt>
                <c:pt idx="770">
                  <c:v>59121.8</c:v>
                </c:pt>
                <c:pt idx="771">
                  <c:v>3953.8</c:v>
                </c:pt>
                <c:pt idx="772">
                  <c:v>92846.81</c:v>
                </c:pt>
                <c:pt idx="773">
                  <c:v>210141.3</c:v>
                </c:pt>
                <c:pt idx="774">
                  <c:v>86309</c:v>
                </c:pt>
                <c:pt idx="775">
                  <c:v>178545.48</c:v>
                </c:pt>
                <c:pt idx="776">
                  <c:v>91076.4</c:v>
                </c:pt>
                <c:pt idx="777">
                  <c:v>116728.5</c:v>
                </c:pt>
                <c:pt idx="778">
                  <c:v>64307.519999999997</c:v>
                </c:pt>
                <c:pt idx="779">
                  <c:v>47618.43</c:v>
                </c:pt>
                <c:pt idx="780">
                  <c:v>100442.24000000001</c:v>
                </c:pt>
                <c:pt idx="781">
                  <c:v>7179.39</c:v>
                </c:pt>
                <c:pt idx="782">
                  <c:v>75706.23</c:v>
                </c:pt>
                <c:pt idx="783">
                  <c:v>347736</c:v>
                </c:pt>
                <c:pt idx="784">
                  <c:v>321222.51</c:v>
                </c:pt>
                <c:pt idx="785">
                  <c:v>168646.62</c:v>
                </c:pt>
                <c:pt idx="786">
                  <c:v>237972.6</c:v>
                </c:pt>
                <c:pt idx="787">
                  <c:v>72667</c:v>
                </c:pt>
                <c:pt idx="788">
                  <c:v>110900.34</c:v>
                </c:pt>
                <c:pt idx="789">
                  <c:v>181783.2</c:v>
                </c:pt>
                <c:pt idx="790">
                  <c:v>56546.37</c:v>
                </c:pt>
                <c:pt idx="791">
                  <c:v>161565.20000000001</c:v>
                </c:pt>
                <c:pt idx="792">
                  <c:v>117472.56</c:v>
                </c:pt>
                <c:pt idx="793">
                  <c:v>61673.9</c:v>
                </c:pt>
                <c:pt idx="794">
                  <c:v>347158.53</c:v>
                </c:pt>
                <c:pt idx="795">
                  <c:v>113054.04</c:v>
                </c:pt>
                <c:pt idx="796">
                  <c:v>80473.399999999994</c:v>
                </c:pt>
                <c:pt idx="797">
                  <c:v>235460.7</c:v>
                </c:pt>
                <c:pt idx="798">
                  <c:v>158916.6</c:v>
                </c:pt>
                <c:pt idx="799">
                  <c:v>40350.67</c:v>
                </c:pt>
                <c:pt idx="800">
                  <c:v>47545.23</c:v>
                </c:pt>
                <c:pt idx="801">
                  <c:v>69219.64</c:v>
                </c:pt>
                <c:pt idx="802">
                  <c:v>102479.94</c:v>
                </c:pt>
                <c:pt idx="803">
                  <c:v>402956.64</c:v>
                </c:pt>
                <c:pt idx="804">
                  <c:v>324833.2</c:v>
                </c:pt>
                <c:pt idx="805">
                  <c:v>429297.21</c:v>
                </c:pt>
                <c:pt idx="806">
                  <c:v>46255.26</c:v>
                </c:pt>
                <c:pt idx="807">
                  <c:v>101295.36</c:v>
                </c:pt>
                <c:pt idx="808">
                  <c:v>193777.92000000001</c:v>
                </c:pt>
                <c:pt idx="809">
                  <c:v>45270.45</c:v>
                </c:pt>
                <c:pt idx="810">
                  <c:v>60395.06</c:v>
                </c:pt>
                <c:pt idx="811">
                  <c:v>83088.899999999994</c:v>
                </c:pt>
                <c:pt idx="812">
                  <c:v>340749.52</c:v>
                </c:pt>
                <c:pt idx="813">
                  <c:v>26771.99</c:v>
                </c:pt>
                <c:pt idx="814">
                  <c:v>285213.69</c:v>
                </c:pt>
                <c:pt idx="815">
                  <c:v>125483.1</c:v>
                </c:pt>
                <c:pt idx="816">
                  <c:v>252238.7</c:v>
                </c:pt>
                <c:pt idx="817">
                  <c:v>173173.12</c:v>
                </c:pt>
                <c:pt idx="818">
                  <c:v>21553.66</c:v>
                </c:pt>
                <c:pt idx="819">
                  <c:v>51456.6</c:v>
                </c:pt>
                <c:pt idx="820">
                  <c:v>21368.29</c:v>
                </c:pt>
                <c:pt idx="821">
                  <c:v>331893.24</c:v>
                </c:pt>
                <c:pt idx="822">
                  <c:v>10864.96</c:v>
                </c:pt>
                <c:pt idx="823">
                  <c:v>91726.26</c:v>
                </c:pt>
                <c:pt idx="824">
                  <c:v>241144.8</c:v>
                </c:pt>
                <c:pt idx="825">
                  <c:v>31849.439999999999</c:v>
                </c:pt>
                <c:pt idx="826">
                  <c:v>34742.76</c:v>
                </c:pt>
                <c:pt idx="827">
                  <c:v>99371.28</c:v>
                </c:pt>
                <c:pt idx="828">
                  <c:v>87368.960000000006</c:v>
                </c:pt>
                <c:pt idx="829">
                  <c:v>101689.05</c:v>
                </c:pt>
                <c:pt idx="830">
                  <c:v>126051.16</c:v>
                </c:pt>
                <c:pt idx="831">
                  <c:v>107664.42</c:v>
                </c:pt>
                <c:pt idx="832">
                  <c:v>42437.1</c:v>
                </c:pt>
                <c:pt idx="833">
                  <c:v>99559.14</c:v>
                </c:pt>
                <c:pt idx="834">
                  <c:v>122685.55</c:v>
                </c:pt>
                <c:pt idx="835">
                  <c:v>31957.88</c:v>
                </c:pt>
                <c:pt idx="836">
                  <c:v>58707.360000000001</c:v>
                </c:pt>
                <c:pt idx="837">
                  <c:v>235105.5</c:v>
                </c:pt>
                <c:pt idx="838">
                  <c:v>258727.23</c:v>
                </c:pt>
                <c:pt idx="839">
                  <c:v>350933.9</c:v>
                </c:pt>
                <c:pt idx="840">
                  <c:v>68529.179999999993</c:v>
                </c:pt>
                <c:pt idx="841">
                  <c:v>269519.53000000003</c:v>
                </c:pt>
                <c:pt idx="842">
                  <c:v>226417.1</c:v>
                </c:pt>
                <c:pt idx="843">
                  <c:v>222899.82</c:v>
                </c:pt>
                <c:pt idx="844">
                  <c:v>164965.29</c:v>
                </c:pt>
                <c:pt idx="845">
                  <c:v>15571.2</c:v>
                </c:pt>
                <c:pt idx="846">
                  <c:v>38929.370000000003</c:v>
                </c:pt>
                <c:pt idx="847">
                  <c:v>86715.66</c:v>
                </c:pt>
                <c:pt idx="848">
                  <c:v>270821.34000000003</c:v>
                </c:pt>
                <c:pt idx="849">
                  <c:v>30519.5</c:v>
                </c:pt>
                <c:pt idx="850">
                  <c:v>93190.71</c:v>
                </c:pt>
                <c:pt idx="851">
                  <c:v>55802.3</c:v>
                </c:pt>
                <c:pt idx="852">
                  <c:v>286879.52</c:v>
                </c:pt>
                <c:pt idx="853">
                  <c:v>239465</c:v>
                </c:pt>
                <c:pt idx="854">
                  <c:v>95992.04</c:v>
                </c:pt>
                <c:pt idx="855">
                  <c:v>42500.65</c:v>
                </c:pt>
                <c:pt idx="856">
                  <c:v>60346.48</c:v>
                </c:pt>
                <c:pt idx="857">
                  <c:v>31117.360000000001</c:v>
                </c:pt>
                <c:pt idx="858">
                  <c:v>215754.42</c:v>
                </c:pt>
                <c:pt idx="859">
                  <c:v>66300.429999999993</c:v>
                </c:pt>
                <c:pt idx="860">
                  <c:v>210619.12</c:v>
                </c:pt>
                <c:pt idx="861">
                  <c:v>434820.24</c:v>
                </c:pt>
                <c:pt idx="862">
                  <c:v>90435.839999999997</c:v>
                </c:pt>
                <c:pt idx="863">
                  <c:v>80260.42</c:v>
                </c:pt>
                <c:pt idx="864">
                  <c:v>1981.7</c:v>
                </c:pt>
                <c:pt idx="865">
                  <c:v>37605.65</c:v>
                </c:pt>
                <c:pt idx="866">
                  <c:v>40275.15</c:v>
                </c:pt>
                <c:pt idx="867">
                  <c:v>113053.32</c:v>
                </c:pt>
                <c:pt idx="868">
                  <c:v>51766.12</c:v>
                </c:pt>
                <c:pt idx="869">
                  <c:v>27918.98</c:v>
                </c:pt>
                <c:pt idx="870">
                  <c:v>64048.05</c:v>
                </c:pt>
                <c:pt idx="871">
                  <c:v>138242.6</c:v>
                </c:pt>
                <c:pt idx="872">
                  <c:v>197421.55</c:v>
                </c:pt>
                <c:pt idx="873">
                  <c:v>14505.96</c:v>
                </c:pt>
                <c:pt idx="874">
                  <c:v>200523.55</c:v>
                </c:pt>
                <c:pt idx="875">
                  <c:v>91718.44</c:v>
                </c:pt>
                <c:pt idx="876">
                  <c:v>237573.1</c:v>
                </c:pt>
                <c:pt idx="877">
                  <c:v>47389.09</c:v>
                </c:pt>
                <c:pt idx="878">
                  <c:v>14209.86</c:v>
                </c:pt>
                <c:pt idx="879">
                  <c:v>70861.06</c:v>
                </c:pt>
                <c:pt idx="880">
                  <c:v>358492.72</c:v>
                </c:pt>
                <c:pt idx="881">
                  <c:v>166613.70000000001</c:v>
                </c:pt>
                <c:pt idx="882">
                  <c:v>99449.279999999999</c:v>
                </c:pt>
                <c:pt idx="883">
                  <c:v>25767.919999999998</c:v>
                </c:pt>
                <c:pt idx="884">
                  <c:v>21572.48</c:v>
                </c:pt>
                <c:pt idx="885">
                  <c:v>310471.03999999998</c:v>
                </c:pt>
                <c:pt idx="886">
                  <c:v>13050.5</c:v>
                </c:pt>
                <c:pt idx="887">
                  <c:v>330496.46999999997</c:v>
                </c:pt>
                <c:pt idx="888">
                  <c:v>16506.48</c:v>
                </c:pt>
                <c:pt idx="889">
                  <c:v>181093.04</c:v>
                </c:pt>
                <c:pt idx="890">
                  <c:v>15061.67</c:v>
                </c:pt>
                <c:pt idx="891">
                  <c:v>92444.73</c:v>
                </c:pt>
                <c:pt idx="892">
                  <c:v>292060.48</c:v>
                </c:pt>
                <c:pt idx="893">
                  <c:v>31247.14</c:v>
                </c:pt>
                <c:pt idx="894">
                  <c:v>46050</c:v>
                </c:pt>
                <c:pt idx="895">
                  <c:v>64332.45</c:v>
                </c:pt>
                <c:pt idx="896">
                  <c:v>203288.64</c:v>
                </c:pt>
                <c:pt idx="897">
                  <c:v>282545.09999999998</c:v>
                </c:pt>
                <c:pt idx="898">
                  <c:v>25348.95</c:v>
                </c:pt>
                <c:pt idx="899">
                  <c:v>118857.45</c:v>
                </c:pt>
                <c:pt idx="900">
                  <c:v>297463.11</c:v>
                </c:pt>
                <c:pt idx="901">
                  <c:v>148435.74</c:v>
                </c:pt>
                <c:pt idx="902">
                  <c:v>129500.85</c:v>
                </c:pt>
                <c:pt idx="903">
                  <c:v>261678.42</c:v>
                </c:pt>
                <c:pt idx="904">
                  <c:v>40714.699999999997</c:v>
                </c:pt>
                <c:pt idx="905">
                  <c:v>200969.45</c:v>
                </c:pt>
                <c:pt idx="906">
                  <c:v>18127.66</c:v>
                </c:pt>
                <c:pt idx="907">
                  <c:v>109150.3</c:v>
                </c:pt>
                <c:pt idx="908">
                  <c:v>78848.08</c:v>
                </c:pt>
                <c:pt idx="909">
                  <c:v>61486.2</c:v>
                </c:pt>
                <c:pt idx="910">
                  <c:v>30394.74</c:v>
                </c:pt>
                <c:pt idx="911">
                  <c:v>20875.52</c:v>
                </c:pt>
                <c:pt idx="912">
                  <c:v>129458.07</c:v>
                </c:pt>
                <c:pt idx="913">
                  <c:v>3239.94</c:v>
                </c:pt>
                <c:pt idx="914">
                  <c:v>10625.65</c:v>
                </c:pt>
                <c:pt idx="915">
                  <c:v>90508.14</c:v>
                </c:pt>
                <c:pt idx="916">
                  <c:v>59828.92</c:v>
                </c:pt>
                <c:pt idx="917">
                  <c:v>154958.15</c:v>
                </c:pt>
                <c:pt idx="918">
                  <c:v>110596.22</c:v>
                </c:pt>
                <c:pt idx="919">
                  <c:v>62429.88</c:v>
                </c:pt>
                <c:pt idx="920">
                  <c:v>21496.95</c:v>
                </c:pt>
                <c:pt idx="921">
                  <c:v>299498.92</c:v>
                </c:pt>
                <c:pt idx="922">
                  <c:v>91236</c:v>
                </c:pt>
                <c:pt idx="923">
                  <c:v>215004.9</c:v>
                </c:pt>
                <c:pt idx="924">
                  <c:v>1961.91</c:v>
                </c:pt>
                <c:pt idx="925">
                  <c:v>11539.95</c:v>
                </c:pt>
                <c:pt idx="926">
                  <c:v>405225.6</c:v>
                </c:pt>
                <c:pt idx="927">
                  <c:v>159668.96</c:v>
                </c:pt>
                <c:pt idx="928">
                  <c:v>23886.69</c:v>
                </c:pt>
                <c:pt idx="929">
                  <c:v>46629.03</c:v>
                </c:pt>
                <c:pt idx="930">
                  <c:v>109913.8</c:v>
                </c:pt>
                <c:pt idx="931">
                  <c:v>39400.400000000001</c:v>
                </c:pt>
                <c:pt idx="932">
                  <c:v>280189.12</c:v>
                </c:pt>
                <c:pt idx="933">
                  <c:v>98774.399999999994</c:v>
                </c:pt>
                <c:pt idx="934">
                  <c:v>122431.8</c:v>
                </c:pt>
                <c:pt idx="935">
                  <c:v>76277.7</c:v>
                </c:pt>
                <c:pt idx="936">
                  <c:v>132438.18</c:v>
                </c:pt>
                <c:pt idx="937">
                  <c:v>217109.48</c:v>
                </c:pt>
                <c:pt idx="938">
                  <c:v>47743.08</c:v>
                </c:pt>
                <c:pt idx="939">
                  <c:v>127543.5</c:v>
                </c:pt>
                <c:pt idx="940">
                  <c:v>321187.65000000002</c:v>
                </c:pt>
                <c:pt idx="941">
                  <c:v>84954.25</c:v>
                </c:pt>
                <c:pt idx="942">
                  <c:v>40383.06</c:v>
                </c:pt>
                <c:pt idx="943">
                  <c:v>374935.6</c:v>
                </c:pt>
                <c:pt idx="944">
                  <c:v>162554.32</c:v>
                </c:pt>
                <c:pt idx="945">
                  <c:v>191143.08</c:v>
                </c:pt>
                <c:pt idx="946">
                  <c:v>8321.5400000000009</c:v>
                </c:pt>
                <c:pt idx="947">
                  <c:v>473144.2</c:v>
                </c:pt>
                <c:pt idx="948">
                  <c:v>311126.03999999998</c:v>
                </c:pt>
                <c:pt idx="949">
                  <c:v>237978.32</c:v>
                </c:pt>
                <c:pt idx="950">
                  <c:v>195601.44</c:v>
                </c:pt>
                <c:pt idx="951">
                  <c:v>55976.480000000003</c:v>
                </c:pt>
                <c:pt idx="952">
                  <c:v>212252.94</c:v>
                </c:pt>
                <c:pt idx="953">
                  <c:v>75415.95</c:v>
                </c:pt>
                <c:pt idx="954">
                  <c:v>76855.259999999995</c:v>
                </c:pt>
                <c:pt idx="955">
                  <c:v>126134.07</c:v>
                </c:pt>
                <c:pt idx="956">
                  <c:v>301283.73</c:v>
                </c:pt>
                <c:pt idx="957">
                  <c:v>146075.29999999999</c:v>
                </c:pt>
                <c:pt idx="958">
                  <c:v>34619.769999999997</c:v>
                </c:pt>
                <c:pt idx="959">
                  <c:v>301320.63</c:v>
                </c:pt>
                <c:pt idx="960">
                  <c:v>85329</c:v>
                </c:pt>
                <c:pt idx="961">
                  <c:v>223298.32</c:v>
                </c:pt>
                <c:pt idx="962">
                  <c:v>154238.45000000001</c:v>
                </c:pt>
                <c:pt idx="963">
                  <c:v>79157.2</c:v>
                </c:pt>
                <c:pt idx="964">
                  <c:v>280228.24</c:v>
                </c:pt>
                <c:pt idx="965">
                  <c:v>37727.1</c:v>
                </c:pt>
                <c:pt idx="966">
                  <c:v>98255.31</c:v>
                </c:pt>
                <c:pt idx="967">
                  <c:v>219795.57</c:v>
                </c:pt>
                <c:pt idx="968">
                  <c:v>31739.18</c:v>
                </c:pt>
                <c:pt idx="969">
                  <c:v>6976.56</c:v>
                </c:pt>
                <c:pt idx="970">
                  <c:v>39956.160000000003</c:v>
                </c:pt>
                <c:pt idx="971">
                  <c:v>431463.9</c:v>
                </c:pt>
                <c:pt idx="972">
                  <c:v>485667.8</c:v>
                </c:pt>
                <c:pt idx="973">
                  <c:v>37134.959999999999</c:v>
                </c:pt>
                <c:pt idx="974">
                  <c:v>140731.04999999999</c:v>
                </c:pt>
                <c:pt idx="975">
                  <c:v>25737.43</c:v>
                </c:pt>
                <c:pt idx="976">
                  <c:v>115969.35</c:v>
                </c:pt>
                <c:pt idx="977">
                  <c:v>267400.44</c:v>
                </c:pt>
                <c:pt idx="978">
                  <c:v>82567.7</c:v>
                </c:pt>
                <c:pt idx="979">
                  <c:v>30398.639999999999</c:v>
                </c:pt>
                <c:pt idx="980">
                  <c:v>468522</c:v>
                </c:pt>
                <c:pt idx="981">
                  <c:v>54039.78</c:v>
                </c:pt>
                <c:pt idx="982">
                  <c:v>144754.88</c:v>
                </c:pt>
                <c:pt idx="983">
                  <c:v>100553.37</c:v>
                </c:pt>
                <c:pt idx="984">
                  <c:v>3375.35</c:v>
                </c:pt>
                <c:pt idx="985">
                  <c:v>136560.28</c:v>
                </c:pt>
                <c:pt idx="986">
                  <c:v>34690.300000000003</c:v>
                </c:pt>
                <c:pt idx="987">
                  <c:v>93055.86</c:v>
                </c:pt>
                <c:pt idx="988">
                  <c:v>21819.5</c:v>
                </c:pt>
                <c:pt idx="989">
                  <c:v>105461.08</c:v>
                </c:pt>
                <c:pt idx="990">
                  <c:v>313519.95</c:v>
                </c:pt>
                <c:pt idx="991">
                  <c:v>357007.84</c:v>
                </c:pt>
                <c:pt idx="992">
                  <c:v>36396.699999999997</c:v>
                </c:pt>
                <c:pt idx="993">
                  <c:v>37930.19</c:v>
                </c:pt>
                <c:pt idx="994">
                  <c:v>398903.76</c:v>
                </c:pt>
                <c:pt idx="995">
                  <c:v>318649.86</c:v>
                </c:pt>
                <c:pt idx="996">
                  <c:v>92273.25</c:v>
                </c:pt>
                <c:pt idx="997">
                  <c:v>116744.31</c:v>
                </c:pt>
                <c:pt idx="998">
                  <c:v>25911.09</c:v>
                </c:pt>
                <c:pt idx="999">
                  <c:v>202444.83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55-4AE9-866E-F6D29E57A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283152"/>
        <c:axId val="581243120"/>
      </c:scatterChart>
      <c:valAx>
        <c:axId val="57328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43120"/>
        <c:crosses val="autoZero"/>
        <c:crossBetween val="midCat"/>
      </c:valAx>
      <c:valAx>
        <c:axId val="5812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8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UnitPrice</a:t>
            </a:r>
            <a:r>
              <a:rPr lang="en-US" baseline="0"/>
              <a:t> </a:t>
            </a:r>
            <a:r>
              <a:rPr lang="en-US"/>
              <a:t>VS TotalSales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Cleaned_Sales_Dataset!$L$1</c:f>
              <c:strCache>
                <c:ptCount val="1"/>
                <c:pt idx="0">
                  <c:v>TotalSales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6846019247594"/>
                  <c:y val="-0.29453776611256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Cleaned_Sales_Dataset!$K$2:$K$1001</c:f>
              <c:numCache>
                <c:formatCode>General</c:formatCode>
                <c:ptCount val="1000"/>
                <c:pt idx="0">
                  <c:v>2829.77</c:v>
                </c:pt>
                <c:pt idx="1">
                  <c:v>27906.16</c:v>
                </c:pt>
                <c:pt idx="2">
                  <c:v>37491.06</c:v>
                </c:pt>
                <c:pt idx="3">
                  <c:v>28541.360000000001</c:v>
                </c:pt>
                <c:pt idx="4">
                  <c:v>14036.59</c:v>
                </c:pt>
                <c:pt idx="5">
                  <c:v>35947.47</c:v>
                </c:pt>
                <c:pt idx="6">
                  <c:v>49997.53</c:v>
                </c:pt>
                <c:pt idx="7">
                  <c:v>9488.83</c:v>
                </c:pt>
                <c:pt idx="8">
                  <c:v>19488.23</c:v>
                </c:pt>
                <c:pt idx="9">
                  <c:v>18024.34</c:v>
                </c:pt>
                <c:pt idx="10">
                  <c:v>14151.42</c:v>
                </c:pt>
                <c:pt idx="11">
                  <c:v>47175.43</c:v>
                </c:pt>
                <c:pt idx="12">
                  <c:v>7413.68</c:v>
                </c:pt>
                <c:pt idx="13">
                  <c:v>12042.52</c:v>
                </c:pt>
                <c:pt idx="14">
                  <c:v>25465.31</c:v>
                </c:pt>
                <c:pt idx="15">
                  <c:v>20111.09</c:v>
                </c:pt>
                <c:pt idx="16">
                  <c:v>40109.120000000003</c:v>
                </c:pt>
                <c:pt idx="17">
                  <c:v>7280.64</c:v>
                </c:pt>
                <c:pt idx="18">
                  <c:v>6122.59</c:v>
                </c:pt>
                <c:pt idx="19">
                  <c:v>23770.36</c:v>
                </c:pt>
                <c:pt idx="20">
                  <c:v>2344.98</c:v>
                </c:pt>
                <c:pt idx="21">
                  <c:v>15396.37</c:v>
                </c:pt>
                <c:pt idx="22">
                  <c:v>31576.5</c:v>
                </c:pt>
                <c:pt idx="23">
                  <c:v>11127.06</c:v>
                </c:pt>
                <c:pt idx="24">
                  <c:v>36069.86</c:v>
                </c:pt>
                <c:pt idx="25">
                  <c:v>39414.46</c:v>
                </c:pt>
                <c:pt idx="26">
                  <c:v>23837.41</c:v>
                </c:pt>
                <c:pt idx="27">
                  <c:v>14534.79</c:v>
                </c:pt>
                <c:pt idx="28">
                  <c:v>21393.69</c:v>
                </c:pt>
                <c:pt idx="29">
                  <c:v>21382.16</c:v>
                </c:pt>
                <c:pt idx="30">
                  <c:v>15831.03</c:v>
                </c:pt>
                <c:pt idx="31">
                  <c:v>21791.66</c:v>
                </c:pt>
                <c:pt idx="32">
                  <c:v>17556.080000000002</c:v>
                </c:pt>
                <c:pt idx="33">
                  <c:v>46822.84</c:v>
                </c:pt>
                <c:pt idx="34">
                  <c:v>47896.7</c:v>
                </c:pt>
                <c:pt idx="35">
                  <c:v>44911.49</c:v>
                </c:pt>
                <c:pt idx="36">
                  <c:v>40746.79</c:v>
                </c:pt>
                <c:pt idx="37">
                  <c:v>4794.08</c:v>
                </c:pt>
                <c:pt idx="38">
                  <c:v>29270.98</c:v>
                </c:pt>
                <c:pt idx="39">
                  <c:v>3992.85</c:v>
                </c:pt>
                <c:pt idx="40">
                  <c:v>44365.94</c:v>
                </c:pt>
                <c:pt idx="41">
                  <c:v>29915.72</c:v>
                </c:pt>
                <c:pt idx="42">
                  <c:v>16521.439999999999</c:v>
                </c:pt>
                <c:pt idx="43">
                  <c:v>14399.11</c:v>
                </c:pt>
                <c:pt idx="44">
                  <c:v>1491.63</c:v>
                </c:pt>
                <c:pt idx="45">
                  <c:v>6210.24</c:v>
                </c:pt>
                <c:pt idx="46">
                  <c:v>47649.61</c:v>
                </c:pt>
                <c:pt idx="47">
                  <c:v>24854.05</c:v>
                </c:pt>
                <c:pt idx="48">
                  <c:v>30834.87</c:v>
                </c:pt>
                <c:pt idx="49">
                  <c:v>20561.97</c:v>
                </c:pt>
                <c:pt idx="50">
                  <c:v>49367.75</c:v>
                </c:pt>
                <c:pt idx="51">
                  <c:v>4656.1000000000004</c:v>
                </c:pt>
                <c:pt idx="52">
                  <c:v>42345.82</c:v>
                </c:pt>
                <c:pt idx="53">
                  <c:v>37747.24</c:v>
                </c:pt>
                <c:pt idx="54">
                  <c:v>33304.17</c:v>
                </c:pt>
                <c:pt idx="55">
                  <c:v>41157.440000000002</c:v>
                </c:pt>
                <c:pt idx="56">
                  <c:v>47669.63</c:v>
                </c:pt>
                <c:pt idx="57">
                  <c:v>44708.5</c:v>
                </c:pt>
                <c:pt idx="58">
                  <c:v>36809.08</c:v>
                </c:pt>
                <c:pt idx="59">
                  <c:v>25292.97</c:v>
                </c:pt>
                <c:pt idx="60">
                  <c:v>29263.26</c:v>
                </c:pt>
                <c:pt idx="61">
                  <c:v>5679.91</c:v>
                </c:pt>
                <c:pt idx="62">
                  <c:v>46235.96</c:v>
                </c:pt>
                <c:pt idx="63">
                  <c:v>27164.06</c:v>
                </c:pt>
                <c:pt idx="64">
                  <c:v>8905.49</c:v>
                </c:pt>
                <c:pt idx="65">
                  <c:v>17406.52</c:v>
                </c:pt>
                <c:pt idx="66">
                  <c:v>27366.58</c:v>
                </c:pt>
                <c:pt idx="67">
                  <c:v>41282.629999999997</c:v>
                </c:pt>
                <c:pt idx="68">
                  <c:v>13645.41</c:v>
                </c:pt>
                <c:pt idx="69">
                  <c:v>27337.64</c:v>
                </c:pt>
                <c:pt idx="70">
                  <c:v>29219.72</c:v>
                </c:pt>
                <c:pt idx="71">
                  <c:v>8572.65</c:v>
                </c:pt>
                <c:pt idx="72">
                  <c:v>45419.62</c:v>
                </c:pt>
                <c:pt idx="73">
                  <c:v>21599.26</c:v>
                </c:pt>
                <c:pt idx="74">
                  <c:v>8883.4500000000007</c:v>
                </c:pt>
                <c:pt idx="75">
                  <c:v>12290.45</c:v>
                </c:pt>
                <c:pt idx="76">
                  <c:v>10784.64</c:v>
                </c:pt>
                <c:pt idx="77">
                  <c:v>35862.339999999997</c:v>
                </c:pt>
                <c:pt idx="78">
                  <c:v>13129.64</c:v>
                </c:pt>
                <c:pt idx="79">
                  <c:v>45747.37</c:v>
                </c:pt>
                <c:pt idx="80">
                  <c:v>5849.89</c:v>
                </c:pt>
                <c:pt idx="81">
                  <c:v>48845.5</c:v>
                </c:pt>
                <c:pt idx="82">
                  <c:v>24828.05</c:v>
                </c:pt>
                <c:pt idx="83">
                  <c:v>17841.400000000001</c:v>
                </c:pt>
                <c:pt idx="84">
                  <c:v>13662.66</c:v>
                </c:pt>
                <c:pt idx="85">
                  <c:v>12169.49</c:v>
                </c:pt>
                <c:pt idx="86">
                  <c:v>349.06</c:v>
                </c:pt>
                <c:pt idx="87">
                  <c:v>20498.740000000002</c:v>
                </c:pt>
                <c:pt idx="88">
                  <c:v>13111.39</c:v>
                </c:pt>
                <c:pt idx="89">
                  <c:v>45000.49</c:v>
                </c:pt>
                <c:pt idx="90">
                  <c:v>3455.06</c:v>
                </c:pt>
                <c:pt idx="91">
                  <c:v>28874.639999999999</c:v>
                </c:pt>
                <c:pt idx="92">
                  <c:v>47917.49</c:v>
                </c:pt>
                <c:pt idx="93">
                  <c:v>21399.51</c:v>
                </c:pt>
                <c:pt idx="94">
                  <c:v>15127.88</c:v>
                </c:pt>
                <c:pt idx="95">
                  <c:v>41677.339999999997</c:v>
                </c:pt>
                <c:pt idx="96">
                  <c:v>40745.550000000003</c:v>
                </c:pt>
                <c:pt idx="97">
                  <c:v>31217.119999999999</c:v>
                </c:pt>
                <c:pt idx="98">
                  <c:v>553.62</c:v>
                </c:pt>
                <c:pt idx="99">
                  <c:v>6974.66</c:v>
                </c:pt>
                <c:pt idx="100">
                  <c:v>19437.88</c:v>
                </c:pt>
                <c:pt idx="101">
                  <c:v>13617.93</c:v>
                </c:pt>
                <c:pt idx="102">
                  <c:v>38897.58</c:v>
                </c:pt>
                <c:pt idx="103">
                  <c:v>8547.07</c:v>
                </c:pt>
                <c:pt idx="104">
                  <c:v>46263.01</c:v>
                </c:pt>
                <c:pt idx="105">
                  <c:v>2814.55</c:v>
                </c:pt>
                <c:pt idx="106">
                  <c:v>41112.050000000003</c:v>
                </c:pt>
                <c:pt idx="107">
                  <c:v>36826.879999999997</c:v>
                </c:pt>
                <c:pt idx="108">
                  <c:v>42806.52</c:v>
                </c:pt>
                <c:pt idx="109">
                  <c:v>5533</c:v>
                </c:pt>
                <c:pt idx="110">
                  <c:v>2638.97</c:v>
                </c:pt>
                <c:pt idx="111">
                  <c:v>25002.720000000001</c:v>
                </c:pt>
                <c:pt idx="112">
                  <c:v>10391.75</c:v>
                </c:pt>
                <c:pt idx="113">
                  <c:v>22437.16</c:v>
                </c:pt>
                <c:pt idx="114">
                  <c:v>41053.56</c:v>
                </c:pt>
                <c:pt idx="115">
                  <c:v>21391.19</c:v>
                </c:pt>
                <c:pt idx="116">
                  <c:v>36875.19</c:v>
                </c:pt>
                <c:pt idx="117">
                  <c:v>41640.74</c:v>
                </c:pt>
                <c:pt idx="118">
                  <c:v>25795.55</c:v>
                </c:pt>
                <c:pt idx="119">
                  <c:v>4391.72</c:v>
                </c:pt>
                <c:pt idx="120">
                  <c:v>18152.14</c:v>
                </c:pt>
                <c:pt idx="121">
                  <c:v>16254.12</c:v>
                </c:pt>
                <c:pt idx="122">
                  <c:v>3805.27</c:v>
                </c:pt>
                <c:pt idx="123">
                  <c:v>46489.41</c:v>
                </c:pt>
                <c:pt idx="124">
                  <c:v>17041.21</c:v>
                </c:pt>
                <c:pt idx="125">
                  <c:v>41494.43</c:v>
                </c:pt>
                <c:pt idx="126">
                  <c:v>25930.1</c:v>
                </c:pt>
                <c:pt idx="127">
                  <c:v>26281.83</c:v>
                </c:pt>
                <c:pt idx="128">
                  <c:v>21833.32</c:v>
                </c:pt>
                <c:pt idx="129">
                  <c:v>40577.1</c:v>
                </c:pt>
                <c:pt idx="130">
                  <c:v>39039.96</c:v>
                </c:pt>
                <c:pt idx="131">
                  <c:v>29902.97</c:v>
                </c:pt>
                <c:pt idx="132">
                  <c:v>18967.46</c:v>
                </c:pt>
                <c:pt idx="133">
                  <c:v>42943.17</c:v>
                </c:pt>
                <c:pt idx="134">
                  <c:v>24216.91</c:v>
                </c:pt>
                <c:pt idx="135">
                  <c:v>7093.9</c:v>
                </c:pt>
                <c:pt idx="136">
                  <c:v>29748.17</c:v>
                </c:pt>
                <c:pt idx="137">
                  <c:v>22563.72</c:v>
                </c:pt>
                <c:pt idx="138">
                  <c:v>17321.68</c:v>
                </c:pt>
                <c:pt idx="139">
                  <c:v>25138.42</c:v>
                </c:pt>
                <c:pt idx="140">
                  <c:v>33887.35</c:v>
                </c:pt>
                <c:pt idx="141">
                  <c:v>30177.21</c:v>
                </c:pt>
                <c:pt idx="142">
                  <c:v>28572.400000000001</c:v>
                </c:pt>
                <c:pt idx="143">
                  <c:v>6898.4</c:v>
                </c:pt>
                <c:pt idx="144">
                  <c:v>20740.93</c:v>
                </c:pt>
                <c:pt idx="145">
                  <c:v>37576.35</c:v>
                </c:pt>
                <c:pt idx="146">
                  <c:v>20416.04</c:v>
                </c:pt>
                <c:pt idx="147">
                  <c:v>8092.78</c:v>
                </c:pt>
                <c:pt idx="148">
                  <c:v>1973.64</c:v>
                </c:pt>
                <c:pt idx="149">
                  <c:v>41749.550000000003</c:v>
                </c:pt>
                <c:pt idx="150">
                  <c:v>48833.27</c:v>
                </c:pt>
                <c:pt idx="151">
                  <c:v>48642.53</c:v>
                </c:pt>
                <c:pt idx="152">
                  <c:v>42299.16</c:v>
                </c:pt>
                <c:pt idx="153">
                  <c:v>38233.51</c:v>
                </c:pt>
                <c:pt idx="154">
                  <c:v>6502.53</c:v>
                </c:pt>
                <c:pt idx="155">
                  <c:v>18293.96</c:v>
                </c:pt>
                <c:pt idx="156">
                  <c:v>40810.01</c:v>
                </c:pt>
                <c:pt idx="157">
                  <c:v>28469</c:v>
                </c:pt>
                <c:pt idx="158">
                  <c:v>1085.1300000000001</c:v>
                </c:pt>
                <c:pt idx="159">
                  <c:v>145.78</c:v>
                </c:pt>
                <c:pt idx="160">
                  <c:v>22636.01</c:v>
                </c:pt>
                <c:pt idx="161">
                  <c:v>39830.65</c:v>
                </c:pt>
                <c:pt idx="162">
                  <c:v>41054.720000000001</c:v>
                </c:pt>
                <c:pt idx="163">
                  <c:v>35300.11</c:v>
                </c:pt>
                <c:pt idx="164">
                  <c:v>25053.25</c:v>
                </c:pt>
                <c:pt idx="165">
                  <c:v>23674.97</c:v>
                </c:pt>
                <c:pt idx="166">
                  <c:v>37436.26</c:v>
                </c:pt>
                <c:pt idx="167">
                  <c:v>31730.57</c:v>
                </c:pt>
                <c:pt idx="168">
                  <c:v>30139.27</c:v>
                </c:pt>
                <c:pt idx="169">
                  <c:v>10289.67</c:v>
                </c:pt>
                <c:pt idx="170">
                  <c:v>8906.18</c:v>
                </c:pt>
                <c:pt idx="171">
                  <c:v>21856.639999999999</c:v>
                </c:pt>
                <c:pt idx="172">
                  <c:v>26781.39</c:v>
                </c:pt>
                <c:pt idx="173">
                  <c:v>49390.42</c:v>
                </c:pt>
                <c:pt idx="174">
                  <c:v>21792.76</c:v>
                </c:pt>
                <c:pt idx="175">
                  <c:v>16850.46</c:v>
                </c:pt>
                <c:pt idx="176">
                  <c:v>14098.13</c:v>
                </c:pt>
                <c:pt idx="177">
                  <c:v>34033.11</c:v>
                </c:pt>
                <c:pt idx="178">
                  <c:v>1423.81</c:v>
                </c:pt>
                <c:pt idx="179">
                  <c:v>29735.57</c:v>
                </c:pt>
                <c:pt idx="180">
                  <c:v>1481</c:v>
                </c:pt>
                <c:pt idx="181">
                  <c:v>23129.360000000001</c:v>
                </c:pt>
                <c:pt idx="182">
                  <c:v>44336.38</c:v>
                </c:pt>
                <c:pt idx="183">
                  <c:v>2983.97</c:v>
                </c:pt>
                <c:pt idx="184">
                  <c:v>8820.5499999999993</c:v>
                </c:pt>
                <c:pt idx="185">
                  <c:v>21001.73</c:v>
                </c:pt>
                <c:pt idx="186">
                  <c:v>16767.5</c:v>
                </c:pt>
                <c:pt idx="187">
                  <c:v>47959.38</c:v>
                </c:pt>
                <c:pt idx="188">
                  <c:v>7642.84</c:v>
                </c:pt>
                <c:pt idx="189">
                  <c:v>1959.05</c:v>
                </c:pt>
                <c:pt idx="190">
                  <c:v>26460.39</c:v>
                </c:pt>
                <c:pt idx="191">
                  <c:v>9132.85</c:v>
                </c:pt>
                <c:pt idx="192">
                  <c:v>34260.449999999997</c:v>
                </c:pt>
                <c:pt idx="193">
                  <c:v>22321.8</c:v>
                </c:pt>
                <c:pt idx="194">
                  <c:v>27492.16</c:v>
                </c:pt>
                <c:pt idx="195">
                  <c:v>35489.21</c:v>
                </c:pt>
                <c:pt idx="196">
                  <c:v>31510.55</c:v>
                </c:pt>
                <c:pt idx="197">
                  <c:v>16633.849999999999</c:v>
                </c:pt>
                <c:pt idx="198">
                  <c:v>27608.55</c:v>
                </c:pt>
                <c:pt idx="199">
                  <c:v>25521.26</c:v>
                </c:pt>
                <c:pt idx="200">
                  <c:v>35658.89</c:v>
                </c:pt>
                <c:pt idx="201">
                  <c:v>18088.02</c:v>
                </c:pt>
                <c:pt idx="202">
                  <c:v>16041.29</c:v>
                </c:pt>
                <c:pt idx="203">
                  <c:v>16533.740000000002</c:v>
                </c:pt>
                <c:pt idx="204">
                  <c:v>16714.64</c:v>
                </c:pt>
                <c:pt idx="205">
                  <c:v>46356.08</c:v>
                </c:pt>
                <c:pt idx="206">
                  <c:v>2636.28</c:v>
                </c:pt>
                <c:pt idx="207">
                  <c:v>34808.76</c:v>
                </c:pt>
                <c:pt idx="208">
                  <c:v>17713.87</c:v>
                </c:pt>
                <c:pt idx="209">
                  <c:v>4421.33</c:v>
                </c:pt>
                <c:pt idx="210">
                  <c:v>49067.82</c:v>
                </c:pt>
                <c:pt idx="211">
                  <c:v>18644.18</c:v>
                </c:pt>
                <c:pt idx="212">
                  <c:v>14462.81</c:v>
                </c:pt>
                <c:pt idx="213">
                  <c:v>29838.32</c:v>
                </c:pt>
                <c:pt idx="214">
                  <c:v>9508.4</c:v>
                </c:pt>
                <c:pt idx="215">
                  <c:v>39054.949999999997</c:v>
                </c:pt>
                <c:pt idx="216">
                  <c:v>20308.849999999999</c:v>
                </c:pt>
                <c:pt idx="217">
                  <c:v>15549.95</c:v>
                </c:pt>
                <c:pt idx="218">
                  <c:v>34192.300000000003</c:v>
                </c:pt>
                <c:pt idx="219">
                  <c:v>12214.1</c:v>
                </c:pt>
                <c:pt idx="220">
                  <c:v>49086.64</c:v>
                </c:pt>
                <c:pt idx="221">
                  <c:v>20404.62</c:v>
                </c:pt>
                <c:pt idx="222">
                  <c:v>49347.28</c:v>
                </c:pt>
                <c:pt idx="223">
                  <c:v>25336.7</c:v>
                </c:pt>
                <c:pt idx="224">
                  <c:v>7361.11</c:v>
                </c:pt>
                <c:pt idx="225">
                  <c:v>33205.94</c:v>
                </c:pt>
                <c:pt idx="226">
                  <c:v>21609.52</c:v>
                </c:pt>
                <c:pt idx="227">
                  <c:v>33072.39</c:v>
                </c:pt>
                <c:pt idx="228">
                  <c:v>46679.69</c:v>
                </c:pt>
                <c:pt idx="229">
                  <c:v>17931.34</c:v>
                </c:pt>
                <c:pt idx="230">
                  <c:v>5518.32</c:v>
                </c:pt>
                <c:pt idx="231">
                  <c:v>15331.09</c:v>
                </c:pt>
                <c:pt idx="232">
                  <c:v>41626.11</c:v>
                </c:pt>
                <c:pt idx="233">
                  <c:v>33479.620000000003</c:v>
                </c:pt>
                <c:pt idx="234">
                  <c:v>44135.66</c:v>
                </c:pt>
                <c:pt idx="235">
                  <c:v>4504.8900000000003</c:v>
                </c:pt>
                <c:pt idx="236">
                  <c:v>28710.98</c:v>
                </c:pt>
                <c:pt idx="237">
                  <c:v>25562.3</c:v>
                </c:pt>
                <c:pt idx="238">
                  <c:v>2860.83</c:v>
                </c:pt>
                <c:pt idx="239">
                  <c:v>1486.03</c:v>
                </c:pt>
                <c:pt idx="240">
                  <c:v>4159.17</c:v>
                </c:pt>
                <c:pt idx="241">
                  <c:v>6218.47</c:v>
                </c:pt>
                <c:pt idx="242">
                  <c:v>29646.26</c:v>
                </c:pt>
                <c:pt idx="243">
                  <c:v>10674.88</c:v>
                </c:pt>
                <c:pt idx="244">
                  <c:v>44577.29</c:v>
                </c:pt>
                <c:pt idx="245">
                  <c:v>36587.03</c:v>
                </c:pt>
                <c:pt idx="246">
                  <c:v>25277.79</c:v>
                </c:pt>
                <c:pt idx="247">
                  <c:v>30855.5</c:v>
                </c:pt>
                <c:pt idx="248">
                  <c:v>19829.73</c:v>
                </c:pt>
                <c:pt idx="249">
                  <c:v>46461.17</c:v>
                </c:pt>
                <c:pt idx="250">
                  <c:v>32168.36</c:v>
                </c:pt>
                <c:pt idx="251">
                  <c:v>1655.36</c:v>
                </c:pt>
                <c:pt idx="252">
                  <c:v>44463.18</c:v>
                </c:pt>
                <c:pt idx="253">
                  <c:v>43576.14</c:v>
                </c:pt>
                <c:pt idx="254">
                  <c:v>43789.89</c:v>
                </c:pt>
                <c:pt idx="255">
                  <c:v>34757.71</c:v>
                </c:pt>
                <c:pt idx="256">
                  <c:v>6196.22</c:v>
                </c:pt>
                <c:pt idx="257">
                  <c:v>36364.839999999997</c:v>
                </c:pt>
                <c:pt idx="258">
                  <c:v>15948.34</c:v>
                </c:pt>
                <c:pt idx="259">
                  <c:v>17292.400000000001</c:v>
                </c:pt>
                <c:pt idx="260">
                  <c:v>29255.02</c:v>
                </c:pt>
                <c:pt idx="261">
                  <c:v>25906.46</c:v>
                </c:pt>
                <c:pt idx="262">
                  <c:v>6110.1</c:v>
                </c:pt>
                <c:pt idx="263">
                  <c:v>36331.75</c:v>
                </c:pt>
                <c:pt idx="264">
                  <c:v>6459.95</c:v>
                </c:pt>
                <c:pt idx="265">
                  <c:v>25164.5</c:v>
                </c:pt>
                <c:pt idx="266">
                  <c:v>49665.71</c:v>
                </c:pt>
                <c:pt idx="267">
                  <c:v>13789.53</c:v>
                </c:pt>
                <c:pt idx="268">
                  <c:v>16404.25</c:v>
                </c:pt>
                <c:pt idx="269">
                  <c:v>32373.88</c:v>
                </c:pt>
                <c:pt idx="270">
                  <c:v>21466.959999999999</c:v>
                </c:pt>
                <c:pt idx="271">
                  <c:v>47201.84</c:v>
                </c:pt>
                <c:pt idx="272">
                  <c:v>36171.660000000003</c:v>
                </c:pt>
                <c:pt idx="273">
                  <c:v>47311.77</c:v>
                </c:pt>
                <c:pt idx="274">
                  <c:v>28865.26</c:v>
                </c:pt>
                <c:pt idx="275">
                  <c:v>48433.7</c:v>
                </c:pt>
                <c:pt idx="276">
                  <c:v>7528.42</c:v>
                </c:pt>
                <c:pt idx="277">
                  <c:v>46629.93</c:v>
                </c:pt>
                <c:pt idx="278">
                  <c:v>32403.32</c:v>
                </c:pt>
                <c:pt idx="279">
                  <c:v>14220.63</c:v>
                </c:pt>
                <c:pt idx="280">
                  <c:v>5810.2</c:v>
                </c:pt>
                <c:pt idx="281">
                  <c:v>22627.46</c:v>
                </c:pt>
                <c:pt idx="282">
                  <c:v>20619.080000000002</c:v>
                </c:pt>
                <c:pt idx="283">
                  <c:v>45034.12</c:v>
                </c:pt>
                <c:pt idx="284">
                  <c:v>40768.5</c:v>
                </c:pt>
                <c:pt idx="285">
                  <c:v>35888.629999999997</c:v>
                </c:pt>
                <c:pt idx="286">
                  <c:v>23875.09</c:v>
                </c:pt>
                <c:pt idx="287">
                  <c:v>17100.29</c:v>
                </c:pt>
                <c:pt idx="288">
                  <c:v>15202.84</c:v>
                </c:pt>
                <c:pt idx="289">
                  <c:v>17696.96</c:v>
                </c:pt>
                <c:pt idx="290">
                  <c:v>13138.1</c:v>
                </c:pt>
                <c:pt idx="291">
                  <c:v>3842.06</c:v>
                </c:pt>
                <c:pt idx="292">
                  <c:v>6495.5</c:v>
                </c:pt>
                <c:pt idx="293">
                  <c:v>43207.48</c:v>
                </c:pt>
                <c:pt idx="294">
                  <c:v>49876.67</c:v>
                </c:pt>
                <c:pt idx="295">
                  <c:v>2599.12</c:v>
                </c:pt>
                <c:pt idx="296">
                  <c:v>6652.95</c:v>
                </c:pt>
                <c:pt idx="297">
                  <c:v>20533.23</c:v>
                </c:pt>
                <c:pt idx="298">
                  <c:v>28595.31</c:v>
                </c:pt>
                <c:pt idx="299">
                  <c:v>9509.1299999999992</c:v>
                </c:pt>
                <c:pt idx="300">
                  <c:v>1106.55</c:v>
                </c:pt>
                <c:pt idx="301">
                  <c:v>39075.07</c:v>
                </c:pt>
                <c:pt idx="302">
                  <c:v>7046.4</c:v>
                </c:pt>
                <c:pt idx="303">
                  <c:v>40763.949999999997</c:v>
                </c:pt>
                <c:pt idx="304">
                  <c:v>3727.43</c:v>
                </c:pt>
                <c:pt idx="305">
                  <c:v>46771.94</c:v>
                </c:pt>
                <c:pt idx="306">
                  <c:v>43207.91</c:v>
                </c:pt>
                <c:pt idx="307">
                  <c:v>5803.11</c:v>
                </c:pt>
                <c:pt idx="308">
                  <c:v>30974.95</c:v>
                </c:pt>
                <c:pt idx="309">
                  <c:v>40276.76</c:v>
                </c:pt>
                <c:pt idx="310">
                  <c:v>17270.72</c:v>
                </c:pt>
                <c:pt idx="311">
                  <c:v>8249.36</c:v>
                </c:pt>
                <c:pt idx="312">
                  <c:v>42935.06</c:v>
                </c:pt>
                <c:pt idx="313">
                  <c:v>1722.06</c:v>
                </c:pt>
                <c:pt idx="314">
                  <c:v>25857.91</c:v>
                </c:pt>
                <c:pt idx="315">
                  <c:v>47319.13</c:v>
                </c:pt>
                <c:pt idx="316">
                  <c:v>21816.67</c:v>
                </c:pt>
                <c:pt idx="317">
                  <c:v>10075.98</c:v>
                </c:pt>
                <c:pt idx="318">
                  <c:v>22182.44</c:v>
                </c:pt>
                <c:pt idx="319">
                  <c:v>35006.300000000003</c:v>
                </c:pt>
                <c:pt idx="320">
                  <c:v>16222.64</c:v>
                </c:pt>
                <c:pt idx="321">
                  <c:v>1935.28</c:v>
                </c:pt>
                <c:pt idx="322">
                  <c:v>28385.87</c:v>
                </c:pt>
                <c:pt idx="323">
                  <c:v>33388.11</c:v>
                </c:pt>
                <c:pt idx="324">
                  <c:v>1005.21</c:v>
                </c:pt>
                <c:pt idx="325">
                  <c:v>27900.36</c:v>
                </c:pt>
                <c:pt idx="326">
                  <c:v>31855.439999999999</c:v>
                </c:pt>
                <c:pt idx="327">
                  <c:v>45988.02</c:v>
                </c:pt>
                <c:pt idx="328">
                  <c:v>19261.810000000001</c:v>
                </c:pt>
                <c:pt idx="329">
                  <c:v>22233.15</c:v>
                </c:pt>
                <c:pt idx="330">
                  <c:v>2247.11</c:v>
                </c:pt>
                <c:pt idx="331">
                  <c:v>27965.93</c:v>
                </c:pt>
                <c:pt idx="332">
                  <c:v>13013.63</c:v>
                </c:pt>
                <c:pt idx="333">
                  <c:v>31943.19</c:v>
                </c:pt>
                <c:pt idx="334">
                  <c:v>26823.14</c:v>
                </c:pt>
                <c:pt idx="335">
                  <c:v>11637.38</c:v>
                </c:pt>
                <c:pt idx="336">
                  <c:v>38518.949999999997</c:v>
                </c:pt>
                <c:pt idx="337">
                  <c:v>25123.86</c:v>
                </c:pt>
                <c:pt idx="338">
                  <c:v>47289.86</c:v>
                </c:pt>
                <c:pt idx="339">
                  <c:v>18655.09</c:v>
                </c:pt>
                <c:pt idx="340">
                  <c:v>45718.65</c:v>
                </c:pt>
                <c:pt idx="341">
                  <c:v>21580.33</c:v>
                </c:pt>
                <c:pt idx="342">
                  <c:v>10932.32</c:v>
                </c:pt>
                <c:pt idx="343">
                  <c:v>12740.73</c:v>
                </c:pt>
                <c:pt idx="344">
                  <c:v>12137.54</c:v>
                </c:pt>
                <c:pt idx="345">
                  <c:v>36943.51</c:v>
                </c:pt>
                <c:pt idx="346">
                  <c:v>33566.199999999997</c:v>
                </c:pt>
                <c:pt idx="347">
                  <c:v>32332.27</c:v>
                </c:pt>
                <c:pt idx="348">
                  <c:v>47254.7</c:v>
                </c:pt>
                <c:pt idx="349">
                  <c:v>42538.14</c:v>
                </c:pt>
                <c:pt idx="350">
                  <c:v>25840.34</c:v>
                </c:pt>
                <c:pt idx="351">
                  <c:v>8162.84</c:v>
                </c:pt>
                <c:pt idx="352">
                  <c:v>49012.25</c:v>
                </c:pt>
                <c:pt idx="353">
                  <c:v>19538.669999999998</c:v>
                </c:pt>
                <c:pt idx="354">
                  <c:v>5053.68</c:v>
                </c:pt>
                <c:pt idx="355">
                  <c:v>14400.18</c:v>
                </c:pt>
                <c:pt idx="356">
                  <c:v>28464.26</c:v>
                </c:pt>
                <c:pt idx="357">
                  <c:v>40682.5</c:v>
                </c:pt>
                <c:pt idx="358">
                  <c:v>45480.39</c:v>
                </c:pt>
                <c:pt idx="359">
                  <c:v>42742.96</c:v>
                </c:pt>
                <c:pt idx="360">
                  <c:v>19010.689999999999</c:v>
                </c:pt>
                <c:pt idx="361">
                  <c:v>31244.32</c:v>
                </c:pt>
                <c:pt idx="362">
                  <c:v>42733.08</c:v>
                </c:pt>
                <c:pt idx="363">
                  <c:v>44751.42</c:v>
                </c:pt>
                <c:pt idx="364">
                  <c:v>47493.59</c:v>
                </c:pt>
                <c:pt idx="365">
                  <c:v>46122.45</c:v>
                </c:pt>
                <c:pt idx="366">
                  <c:v>31028.12</c:v>
                </c:pt>
                <c:pt idx="367">
                  <c:v>48986.48</c:v>
                </c:pt>
                <c:pt idx="368">
                  <c:v>12839.38</c:v>
                </c:pt>
                <c:pt idx="369">
                  <c:v>6050.27</c:v>
                </c:pt>
                <c:pt idx="370">
                  <c:v>42518.8</c:v>
                </c:pt>
                <c:pt idx="371">
                  <c:v>22806.21</c:v>
                </c:pt>
                <c:pt idx="372">
                  <c:v>39453.46</c:v>
                </c:pt>
                <c:pt idx="373">
                  <c:v>28311.58</c:v>
                </c:pt>
                <c:pt idx="374">
                  <c:v>11513.96</c:v>
                </c:pt>
                <c:pt idx="375">
                  <c:v>16079.7</c:v>
                </c:pt>
                <c:pt idx="376">
                  <c:v>21152.92</c:v>
                </c:pt>
                <c:pt idx="377">
                  <c:v>20998.7</c:v>
                </c:pt>
                <c:pt idx="378">
                  <c:v>13054.61</c:v>
                </c:pt>
                <c:pt idx="379">
                  <c:v>46780.58</c:v>
                </c:pt>
                <c:pt idx="380">
                  <c:v>34258.83</c:v>
                </c:pt>
                <c:pt idx="381">
                  <c:v>17055.84</c:v>
                </c:pt>
                <c:pt idx="382">
                  <c:v>7876.48</c:v>
                </c:pt>
                <c:pt idx="383">
                  <c:v>34976.79</c:v>
                </c:pt>
                <c:pt idx="384">
                  <c:v>38672.339999999997</c:v>
                </c:pt>
                <c:pt idx="385">
                  <c:v>48695.59</c:v>
                </c:pt>
                <c:pt idx="386">
                  <c:v>41871.43</c:v>
                </c:pt>
                <c:pt idx="387">
                  <c:v>26179.81</c:v>
                </c:pt>
                <c:pt idx="388">
                  <c:v>23398.57</c:v>
                </c:pt>
                <c:pt idx="389">
                  <c:v>24596.560000000001</c:v>
                </c:pt>
                <c:pt idx="390">
                  <c:v>35804.49</c:v>
                </c:pt>
                <c:pt idx="391">
                  <c:v>36239.15</c:v>
                </c:pt>
                <c:pt idx="392">
                  <c:v>21143.07</c:v>
                </c:pt>
                <c:pt idx="393">
                  <c:v>30277.06</c:v>
                </c:pt>
                <c:pt idx="394">
                  <c:v>41264.559999999998</c:v>
                </c:pt>
                <c:pt idx="395">
                  <c:v>11761.9</c:v>
                </c:pt>
                <c:pt idx="396">
                  <c:v>48807.37</c:v>
                </c:pt>
                <c:pt idx="397">
                  <c:v>1895.99</c:v>
                </c:pt>
                <c:pt idx="398">
                  <c:v>26269.62</c:v>
                </c:pt>
                <c:pt idx="399">
                  <c:v>1793.29</c:v>
                </c:pt>
                <c:pt idx="400">
                  <c:v>18223.060000000001</c:v>
                </c:pt>
                <c:pt idx="401">
                  <c:v>43850.91</c:v>
                </c:pt>
                <c:pt idx="402">
                  <c:v>15617.29</c:v>
                </c:pt>
                <c:pt idx="403">
                  <c:v>36062.36</c:v>
                </c:pt>
                <c:pt idx="404">
                  <c:v>24194.959999999999</c:v>
                </c:pt>
                <c:pt idx="405">
                  <c:v>46253.94</c:v>
                </c:pt>
                <c:pt idx="406">
                  <c:v>22534.47</c:v>
                </c:pt>
                <c:pt idx="407">
                  <c:v>23003.279999999999</c:v>
                </c:pt>
                <c:pt idx="408">
                  <c:v>6619.66</c:v>
                </c:pt>
                <c:pt idx="409">
                  <c:v>7231.17</c:v>
                </c:pt>
                <c:pt idx="410">
                  <c:v>14441.39</c:v>
                </c:pt>
                <c:pt idx="411">
                  <c:v>39636.15</c:v>
                </c:pt>
                <c:pt idx="412">
                  <c:v>6633.6</c:v>
                </c:pt>
                <c:pt idx="413">
                  <c:v>31722.52</c:v>
                </c:pt>
                <c:pt idx="414">
                  <c:v>24990.09</c:v>
                </c:pt>
                <c:pt idx="415">
                  <c:v>26716.59</c:v>
                </c:pt>
                <c:pt idx="416">
                  <c:v>28813.93</c:v>
                </c:pt>
                <c:pt idx="417">
                  <c:v>2209.4299999999998</c:v>
                </c:pt>
                <c:pt idx="418">
                  <c:v>572.39</c:v>
                </c:pt>
                <c:pt idx="419">
                  <c:v>26522.29</c:v>
                </c:pt>
                <c:pt idx="420">
                  <c:v>25875.53</c:v>
                </c:pt>
                <c:pt idx="421">
                  <c:v>37176.15</c:v>
                </c:pt>
                <c:pt idx="422">
                  <c:v>315.67</c:v>
                </c:pt>
                <c:pt idx="423">
                  <c:v>30640.69</c:v>
                </c:pt>
                <c:pt idx="424">
                  <c:v>23432.880000000001</c:v>
                </c:pt>
                <c:pt idx="425">
                  <c:v>29297.53</c:v>
                </c:pt>
                <c:pt idx="426">
                  <c:v>33928.269999999997</c:v>
                </c:pt>
                <c:pt idx="427">
                  <c:v>13857.45</c:v>
                </c:pt>
                <c:pt idx="428">
                  <c:v>29804.26</c:v>
                </c:pt>
                <c:pt idx="429">
                  <c:v>12279.11</c:v>
                </c:pt>
                <c:pt idx="430">
                  <c:v>5060.75</c:v>
                </c:pt>
                <c:pt idx="431">
                  <c:v>42427.93</c:v>
                </c:pt>
                <c:pt idx="432">
                  <c:v>43997.22</c:v>
                </c:pt>
                <c:pt idx="433">
                  <c:v>28812.06</c:v>
                </c:pt>
                <c:pt idx="434">
                  <c:v>1229.02</c:v>
                </c:pt>
                <c:pt idx="435">
                  <c:v>29528.77</c:v>
                </c:pt>
                <c:pt idx="436">
                  <c:v>24864.11</c:v>
                </c:pt>
                <c:pt idx="437">
                  <c:v>11693.63</c:v>
                </c:pt>
                <c:pt idx="438">
                  <c:v>5988.17</c:v>
                </c:pt>
                <c:pt idx="439">
                  <c:v>3839.04</c:v>
                </c:pt>
                <c:pt idx="440">
                  <c:v>3146.73</c:v>
                </c:pt>
                <c:pt idx="441">
                  <c:v>33771.26</c:v>
                </c:pt>
                <c:pt idx="442">
                  <c:v>28342.81</c:v>
                </c:pt>
                <c:pt idx="443">
                  <c:v>48457.94</c:v>
                </c:pt>
                <c:pt idx="444">
                  <c:v>41096.75</c:v>
                </c:pt>
                <c:pt idx="445">
                  <c:v>19415.21</c:v>
                </c:pt>
                <c:pt idx="446">
                  <c:v>8654.1299999999992</c:v>
                </c:pt>
                <c:pt idx="447">
                  <c:v>26337.15</c:v>
                </c:pt>
                <c:pt idx="448">
                  <c:v>43946.96</c:v>
                </c:pt>
                <c:pt idx="449">
                  <c:v>30576</c:v>
                </c:pt>
                <c:pt idx="450">
                  <c:v>32289.77</c:v>
                </c:pt>
                <c:pt idx="451">
                  <c:v>18153.87</c:v>
                </c:pt>
                <c:pt idx="452">
                  <c:v>5815.69</c:v>
                </c:pt>
                <c:pt idx="453">
                  <c:v>47927.360000000001</c:v>
                </c:pt>
                <c:pt idx="454">
                  <c:v>30816.21</c:v>
                </c:pt>
                <c:pt idx="455">
                  <c:v>45809.09</c:v>
                </c:pt>
                <c:pt idx="456">
                  <c:v>7127.33</c:v>
                </c:pt>
                <c:pt idx="457">
                  <c:v>41434.83</c:v>
                </c:pt>
                <c:pt idx="458">
                  <c:v>36242.410000000003</c:v>
                </c:pt>
                <c:pt idx="459">
                  <c:v>13908.48</c:v>
                </c:pt>
                <c:pt idx="460">
                  <c:v>9009.36</c:v>
                </c:pt>
                <c:pt idx="461">
                  <c:v>36021.08</c:v>
                </c:pt>
                <c:pt idx="462">
                  <c:v>44045.66</c:v>
                </c:pt>
                <c:pt idx="463">
                  <c:v>41596.85</c:v>
                </c:pt>
                <c:pt idx="464">
                  <c:v>21020.37</c:v>
                </c:pt>
                <c:pt idx="465">
                  <c:v>28483.33</c:v>
                </c:pt>
                <c:pt idx="466">
                  <c:v>22060.38</c:v>
                </c:pt>
                <c:pt idx="467">
                  <c:v>17074.46</c:v>
                </c:pt>
                <c:pt idx="468">
                  <c:v>7136.1</c:v>
                </c:pt>
                <c:pt idx="469">
                  <c:v>33964.14</c:v>
                </c:pt>
                <c:pt idx="470">
                  <c:v>46331.16</c:v>
                </c:pt>
                <c:pt idx="471">
                  <c:v>27530.02</c:v>
                </c:pt>
                <c:pt idx="472">
                  <c:v>24291.74</c:v>
                </c:pt>
                <c:pt idx="473">
                  <c:v>13257.79</c:v>
                </c:pt>
                <c:pt idx="474">
                  <c:v>16360.67</c:v>
                </c:pt>
                <c:pt idx="475">
                  <c:v>40480.730000000003</c:v>
                </c:pt>
                <c:pt idx="476">
                  <c:v>747.57</c:v>
                </c:pt>
                <c:pt idx="477">
                  <c:v>35420.46</c:v>
                </c:pt>
                <c:pt idx="478">
                  <c:v>38957.589999999997</c:v>
                </c:pt>
                <c:pt idx="479">
                  <c:v>2762.18</c:v>
                </c:pt>
                <c:pt idx="480">
                  <c:v>33800.83</c:v>
                </c:pt>
                <c:pt idx="481">
                  <c:v>4113.3999999999996</c:v>
                </c:pt>
                <c:pt idx="482">
                  <c:v>24297.48</c:v>
                </c:pt>
                <c:pt idx="483">
                  <c:v>5037.6000000000004</c:v>
                </c:pt>
                <c:pt idx="484">
                  <c:v>34803.410000000003</c:v>
                </c:pt>
                <c:pt idx="485">
                  <c:v>9123.43</c:v>
                </c:pt>
                <c:pt idx="486">
                  <c:v>6567.81</c:v>
                </c:pt>
                <c:pt idx="487">
                  <c:v>27766.560000000001</c:v>
                </c:pt>
                <c:pt idx="488">
                  <c:v>33535.53</c:v>
                </c:pt>
                <c:pt idx="489">
                  <c:v>48011.48</c:v>
                </c:pt>
                <c:pt idx="490">
                  <c:v>21084.400000000001</c:v>
                </c:pt>
                <c:pt idx="491">
                  <c:v>37002.06</c:v>
                </c:pt>
                <c:pt idx="492">
                  <c:v>33382.46</c:v>
                </c:pt>
                <c:pt idx="493">
                  <c:v>16321.45</c:v>
                </c:pt>
                <c:pt idx="494">
                  <c:v>767.61</c:v>
                </c:pt>
                <c:pt idx="495">
                  <c:v>18862.36</c:v>
                </c:pt>
                <c:pt idx="496">
                  <c:v>47693.33</c:v>
                </c:pt>
                <c:pt idx="497">
                  <c:v>33234.99</c:v>
                </c:pt>
                <c:pt idx="498">
                  <c:v>7268.14</c:v>
                </c:pt>
                <c:pt idx="499">
                  <c:v>10702.89</c:v>
                </c:pt>
                <c:pt idx="500">
                  <c:v>13323.8</c:v>
                </c:pt>
                <c:pt idx="501">
                  <c:v>27565.01</c:v>
                </c:pt>
                <c:pt idx="502">
                  <c:v>40225.629999999997</c:v>
                </c:pt>
                <c:pt idx="503">
                  <c:v>12494.97</c:v>
                </c:pt>
                <c:pt idx="504">
                  <c:v>40440.720000000001</c:v>
                </c:pt>
                <c:pt idx="505">
                  <c:v>25386.400000000001</c:v>
                </c:pt>
                <c:pt idx="506">
                  <c:v>7991.06</c:v>
                </c:pt>
                <c:pt idx="507">
                  <c:v>41886.870000000003</c:v>
                </c:pt>
                <c:pt idx="508">
                  <c:v>7062.57</c:v>
                </c:pt>
                <c:pt idx="509">
                  <c:v>8028.98</c:v>
                </c:pt>
                <c:pt idx="510">
                  <c:v>49735.32</c:v>
                </c:pt>
                <c:pt idx="511">
                  <c:v>25461.32</c:v>
                </c:pt>
                <c:pt idx="512">
                  <c:v>30210.720000000001</c:v>
                </c:pt>
                <c:pt idx="513">
                  <c:v>42150.74</c:v>
                </c:pt>
                <c:pt idx="514">
                  <c:v>16249.69</c:v>
                </c:pt>
                <c:pt idx="515">
                  <c:v>16403.009999999998</c:v>
                </c:pt>
                <c:pt idx="516">
                  <c:v>19933.439999999999</c:v>
                </c:pt>
                <c:pt idx="517">
                  <c:v>48879.87</c:v>
                </c:pt>
                <c:pt idx="518">
                  <c:v>32458.06</c:v>
                </c:pt>
                <c:pt idx="519">
                  <c:v>32104.55</c:v>
                </c:pt>
                <c:pt idx="520">
                  <c:v>35318.199999999997</c:v>
                </c:pt>
                <c:pt idx="521">
                  <c:v>47870.04</c:v>
                </c:pt>
                <c:pt idx="522">
                  <c:v>47848</c:v>
                </c:pt>
                <c:pt idx="523">
                  <c:v>751.97</c:v>
                </c:pt>
                <c:pt idx="524">
                  <c:v>22666.98</c:v>
                </c:pt>
                <c:pt idx="525">
                  <c:v>12225.23</c:v>
                </c:pt>
                <c:pt idx="526">
                  <c:v>17760.62</c:v>
                </c:pt>
                <c:pt idx="527">
                  <c:v>8151.02</c:v>
                </c:pt>
                <c:pt idx="528">
                  <c:v>12514.53</c:v>
                </c:pt>
                <c:pt idx="529">
                  <c:v>40250.629999999997</c:v>
                </c:pt>
                <c:pt idx="530">
                  <c:v>48031.9</c:v>
                </c:pt>
                <c:pt idx="531">
                  <c:v>45296.32</c:v>
                </c:pt>
                <c:pt idx="532">
                  <c:v>25036.53</c:v>
                </c:pt>
                <c:pt idx="533">
                  <c:v>21466.01</c:v>
                </c:pt>
                <c:pt idx="534">
                  <c:v>28506.81</c:v>
                </c:pt>
                <c:pt idx="535">
                  <c:v>30698.79</c:v>
                </c:pt>
                <c:pt idx="536">
                  <c:v>3230.47</c:v>
                </c:pt>
                <c:pt idx="537">
                  <c:v>13606.65</c:v>
                </c:pt>
                <c:pt idx="538">
                  <c:v>9146.39</c:v>
                </c:pt>
                <c:pt idx="539">
                  <c:v>26764.87</c:v>
                </c:pt>
                <c:pt idx="540">
                  <c:v>6887.98</c:v>
                </c:pt>
                <c:pt idx="541">
                  <c:v>49889.13</c:v>
                </c:pt>
                <c:pt idx="542">
                  <c:v>39050.879999999997</c:v>
                </c:pt>
                <c:pt idx="543">
                  <c:v>14634.25</c:v>
                </c:pt>
                <c:pt idx="544">
                  <c:v>33006.89</c:v>
                </c:pt>
                <c:pt idx="545">
                  <c:v>46663.92</c:v>
                </c:pt>
                <c:pt idx="546">
                  <c:v>3626.27</c:v>
                </c:pt>
                <c:pt idx="547">
                  <c:v>13184.14</c:v>
                </c:pt>
                <c:pt idx="548">
                  <c:v>41509.54</c:v>
                </c:pt>
                <c:pt idx="549">
                  <c:v>27044.74</c:v>
                </c:pt>
                <c:pt idx="550">
                  <c:v>35113.980000000003</c:v>
                </c:pt>
                <c:pt idx="551">
                  <c:v>38032.019999999997</c:v>
                </c:pt>
                <c:pt idx="552">
                  <c:v>37614.58</c:v>
                </c:pt>
                <c:pt idx="553">
                  <c:v>18505.560000000001</c:v>
                </c:pt>
                <c:pt idx="554">
                  <c:v>21017.46</c:v>
                </c:pt>
                <c:pt idx="555">
                  <c:v>1204.93</c:v>
                </c:pt>
                <c:pt idx="556">
                  <c:v>36390.58</c:v>
                </c:pt>
                <c:pt idx="557">
                  <c:v>17302.3</c:v>
                </c:pt>
                <c:pt idx="558">
                  <c:v>6613.42</c:v>
                </c:pt>
                <c:pt idx="559">
                  <c:v>28280.37</c:v>
                </c:pt>
                <c:pt idx="560">
                  <c:v>6150.86</c:v>
                </c:pt>
                <c:pt idx="561">
                  <c:v>26924.41</c:v>
                </c:pt>
                <c:pt idx="562">
                  <c:v>6301.32</c:v>
                </c:pt>
                <c:pt idx="563">
                  <c:v>39690.68</c:v>
                </c:pt>
                <c:pt idx="564">
                  <c:v>36327.94</c:v>
                </c:pt>
                <c:pt idx="565">
                  <c:v>21547.89</c:v>
                </c:pt>
                <c:pt idx="566">
                  <c:v>32749.759999999998</c:v>
                </c:pt>
                <c:pt idx="567">
                  <c:v>43251.3</c:v>
                </c:pt>
                <c:pt idx="568">
                  <c:v>47748.45</c:v>
                </c:pt>
                <c:pt idx="569">
                  <c:v>16276.94</c:v>
                </c:pt>
                <c:pt idx="570">
                  <c:v>11122.7</c:v>
                </c:pt>
                <c:pt idx="571">
                  <c:v>39005.269999999997</c:v>
                </c:pt>
                <c:pt idx="572">
                  <c:v>16346.82</c:v>
                </c:pt>
                <c:pt idx="573">
                  <c:v>3859.9</c:v>
                </c:pt>
                <c:pt idx="574">
                  <c:v>49058.94</c:v>
                </c:pt>
                <c:pt idx="575">
                  <c:v>413.2</c:v>
                </c:pt>
                <c:pt idx="576">
                  <c:v>21555.119999999999</c:v>
                </c:pt>
                <c:pt idx="577">
                  <c:v>37214.58</c:v>
                </c:pt>
                <c:pt idx="578">
                  <c:v>21194.59</c:v>
                </c:pt>
                <c:pt idx="579">
                  <c:v>44971.9</c:v>
                </c:pt>
                <c:pt idx="580">
                  <c:v>26046.5</c:v>
                </c:pt>
                <c:pt idx="581">
                  <c:v>43567.37</c:v>
                </c:pt>
                <c:pt idx="582">
                  <c:v>19565.23</c:v>
                </c:pt>
                <c:pt idx="583">
                  <c:v>7642.55</c:v>
                </c:pt>
                <c:pt idx="584">
                  <c:v>22060</c:v>
                </c:pt>
                <c:pt idx="585">
                  <c:v>20074.3</c:v>
                </c:pt>
                <c:pt idx="586">
                  <c:v>5442.06</c:v>
                </c:pt>
                <c:pt idx="587">
                  <c:v>38159.29</c:v>
                </c:pt>
                <c:pt idx="588">
                  <c:v>18229</c:v>
                </c:pt>
                <c:pt idx="589">
                  <c:v>14656.73</c:v>
                </c:pt>
                <c:pt idx="590">
                  <c:v>1286.3599999999999</c:v>
                </c:pt>
                <c:pt idx="591">
                  <c:v>11893.8</c:v>
                </c:pt>
                <c:pt idx="592">
                  <c:v>11967.47</c:v>
                </c:pt>
                <c:pt idx="593">
                  <c:v>35411.730000000003</c:v>
                </c:pt>
                <c:pt idx="594">
                  <c:v>15515.24</c:v>
                </c:pt>
                <c:pt idx="595">
                  <c:v>697.87</c:v>
                </c:pt>
                <c:pt idx="596">
                  <c:v>20857.23</c:v>
                </c:pt>
                <c:pt idx="597">
                  <c:v>3595.82</c:v>
                </c:pt>
                <c:pt idx="598">
                  <c:v>20144.84</c:v>
                </c:pt>
                <c:pt idx="599">
                  <c:v>30620.75</c:v>
                </c:pt>
                <c:pt idx="600">
                  <c:v>38955.26</c:v>
                </c:pt>
                <c:pt idx="601">
                  <c:v>7534.68</c:v>
                </c:pt>
                <c:pt idx="602">
                  <c:v>5789.5</c:v>
                </c:pt>
                <c:pt idx="603">
                  <c:v>46278.59</c:v>
                </c:pt>
                <c:pt idx="604">
                  <c:v>14770.13</c:v>
                </c:pt>
                <c:pt idx="605">
                  <c:v>45095.75</c:v>
                </c:pt>
                <c:pt idx="606">
                  <c:v>10393.69</c:v>
                </c:pt>
                <c:pt idx="607">
                  <c:v>38952.78</c:v>
                </c:pt>
                <c:pt idx="608">
                  <c:v>3414.17</c:v>
                </c:pt>
                <c:pt idx="609">
                  <c:v>5129.0200000000004</c:v>
                </c:pt>
                <c:pt idx="610">
                  <c:v>15846.45</c:v>
                </c:pt>
                <c:pt idx="611">
                  <c:v>27448.01</c:v>
                </c:pt>
                <c:pt idx="612">
                  <c:v>5518.35</c:v>
                </c:pt>
                <c:pt idx="613">
                  <c:v>39988.019999999997</c:v>
                </c:pt>
                <c:pt idx="614">
                  <c:v>23079.96</c:v>
                </c:pt>
                <c:pt idx="615">
                  <c:v>14044.67</c:v>
                </c:pt>
                <c:pt idx="616">
                  <c:v>43693.36</c:v>
                </c:pt>
                <c:pt idx="617">
                  <c:v>14181.47</c:v>
                </c:pt>
                <c:pt idx="618">
                  <c:v>28783.13</c:v>
                </c:pt>
                <c:pt idx="619">
                  <c:v>32432.65</c:v>
                </c:pt>
                <c:pt idx="620">
                  <c:v>29976.58</c:v>
                </c:pt>
                <c:pt idx="621">
                  <c:v>38029.64</c:v>
                </c:pt>
                <c:pt idx="622">
                  <c:v>48255.19</c:v>
                </c:pt>
                <c:pt idx="623">
                  <c:v>27971.17</c:v>
                </c:pt>
                <c:pt idx="624">
                  <c:v>46756.46</c:v>
                </c:pt>
                <c:pt idx="625">
                  <c:v>47466.18</c:v>
                </c:pt>
                <c:pt idx="626">
                  <c:v>33193.9</c:v>
                </c:pt>
                <c:pt idx="627">
                  <c:v>46021.88</c:v>
                </c:pt>
                <c:pt idx="628">
                  <c:v>45512.65</c:v>
                </c:pt>
                <c:pt idx="629">
                  <c:v>46924.58</c:v>
                </c:pt>
                <c:pt idx="630">
                  <c:v>37343.19</c:v>
                </c:pt>
                <c:pt idx="631">
                  <c:v>14175.96</c:v>
                </c:pt>
                <c:pt idx="632">
                  <c:v>7259.89</c:v>
                </c:pt>
                <c:pt idx="633">
                  <c:v>257.27999999999997</c:v>
                </c:pt>
                <c:pt idx="634">
                  <c:v>24291.82</c:v>
                </c:pt>
                <c:pt idx="635">
                  <c:v>25919.18</c:v>
                </c:pt>
                <c:pt idx="636">
                  <c:v>24382.42</c:v>
                </c:pt>
                <c:pt idx="637">
                  <c:v>3971.35</c:v>
                </c:pt>
                <c:pt idx="638">
                  <c:v>7739.33</c:v>
                </c:pt>
                <c:pt idx="639">
                  <c:v>34302.92</c:v>
                </c:pt>
                <c:pt idx="640">
                  <c:v>20626.25</c:v>
                </c:pt>
                <c:pt idx="641">
                  <c:v>39545.61</c:v>
                </c:pt>
                <c:pt idx="642">
                  <c:v>23490.33</c:v>
                </c:pt>
                <c:pt idx="643">
                  <c:v>22343.439999999999</c:v>
                </c:pt>
                <c:pt idx="644">
                  <c:v>16279.37</c:v>
                </c:pt>
                <c:pt idx="645">
                  <c:v>26566.32</c:v>
                </c:pt>
                <c:pt idx="646">
                  <c:v>1867.81</c:v>
                </c:pt>
                <c:pt idx="647">
                  <c:v>22106.78</c:v>
                </c:pt>
                <c:pt idx="648">
                  <c:v>7467.04</c:v>
                </c:pt>
                <c:pt idx="649">
                  <c:v>27547.81</c:v>
                </c:pt>
                <c:pt idx="650">
                  <c:v>22952.77</c:v>
                </c:pt>
                <c:pt idx="651">
                  <c:v>35222.230000000003</c:v>
                </c:pt>
                <c:pt idx="652">
                  <c:v>16240.66</c:v>
                </c:pt>
                <c:pt idx="653">
                  <c:v>12255.87</c:v>
                </c:pt>
                <c:pt idx="654">
                  <c:v>42941.88</c:v>
                </c:pt>
                <c:pt idx="655">
                  <c:v>10307.48</c:v>
                </c:pt>
                <c:pt idx="656">
                  <c:v>46270.13</c:v>
                </c:pt>
                <c:pt idx="657">
                  <c:v>33524.03</c:v>
                </c:pt>
                <c:pt idx="658">
                  <c:v>38065.839999999997</c:v>
                </c:pt>
                <c:pt idx="659">
                  <c:v>8465.6200000000008</c:v>
                </c:pt>
                <c:pt idx="660">
                  <c:v>1610.18</c:v>
                </c:pt>
                <c:pt idx="661">
                  <c:v>35120.83</c:v>
                </c:pt>
                <c:pt idx="662">
                  <c:v>30775.74</c:v>
                </c:pt>
                <c:pt idx="663">
                  <c:v>47796.53</c:v>
                </c:pt>
                <c:pt idx="664">
                  <c:v>38583.879999999997</c:v>
                </c:pt>
                <c:pt idx="665">
                  <c:v>38368.410000000003</c:v>
                </c:pt>
                <c:pt idx="666">
                  <c:v>48299.85</c:v>
                </c:pt>
                <c:pt idx="667">
                  <c:v>6889.29</c:v>
                </c:pt>
                <c:pt idx="668">
                  <c:v>41268.06</c:v>
                </c:pt>
                <c:pt idx="669">
                  <c:v>28065.77</c:v>
                </c:pt>
                <c:pt idx="670">
                  <c:v>25269.25</c:v>
                </c:pt>
                <c:pt idx="671">
                  <c:v>31615.64</c:v>
                </c:pt>
                <c:pt idx="672">
                  <c:v>17212.990000000002</c:v>
                </c:pt>
                <c:pt idx="673">
                  <c:v>14756.18</c:v>
                </c:pt>
                <c:pt idx="674">
                  <c:v>21694.12</c:v>
                </c:pt>
                <c:pt idx="675">
                  <c:v>5632.88</c:v>
                </c:pt>
                <c:pt idx="676">
                  <c:v>16961.150000000001</c:v>
                </c:pt>
                <c:pt idx="677">
                  <c:v>17500.41</c:v>
                </c:pt>
                <c:pt idx="678">
                  <c:v>47401.02</c:v>
                </c:pt>
                <c:pt idx="679">
                  <c:v>12194.92</c:v>
                </c:pt>
                <c:pt idx="680">
                  <c:v>49052.97</c:v>
                </c:pt>
                <c:pt idx="681">
                  <c:v>22686.59</c:v>
                </c:pt>
                <c:pt idx="682">
                  <c:v>34508.6</c:v>
                </c:pt>
                <c:pt idx="683">
                  <c:v>21599.35</c:v>
                </c:pt>
                <c:pt idx="684">
                  <c:v>30019.56</c:v>
                </c:pt>
                <c:pt idx="685">
                  <c:v>24358.21</c:v>
                </c:pt>
                <c:pt idx="686">
                  <c:v>16639.759999999998</c:v>
                </c:pt>
                <c:pt idx="687">
                  <c:v>48276.39</c:v>
                </c:pt>
                <c:pt idx="688">
                  <c:v>40069.01</c:v>
                </c:pt>
                <c:pt idx="689">
                  <c:v>31937.15</c:v>
                </c:pt>
                <c:pt idx="690">
                  <c:v>40754.69</c:v>
                </c:pt>
                <c:pt idx="691">
                  <c:v>45877.49</c:v>
                </c:pt>
                <c:pt idx="692">
                  <c:v>20994.21</c:v>
                </c:pt>
                <c:pt idx="693">
                  <c:v>3215.11</c:v>
                </c:pt>
                <c:pt idx="694">
                  <c:v>26936.34</c:v>
                </c:pt>
                <c:pt idx="695">
                  <c:v>29470.1</c:v>
                </c:pt>
                <c:pt idx="696">
                  <c:v>31076.31</c:v>
                </c:pt>
                <c:pt idx="697">
                  <c:v>43864.35</c:v>
                </c:pt>
                <c:pt idx="698">
                  <c:v>11808.33</c:v>
                </c:pt>
                <c:pt idx="699">
                  <c:v>38128.32</c:v>
                </c:pt>
                <c:pt idx="700">
                  <c:v>28222.97</c:v>
                </c:pt>
                <c:pt idx="701">
                  <c:v>21720.560000000001</c:v>
                </c:pt>
                <c:pt idx="702">
                  <c:v>4568.6099999999997</c:v>
                </c:pt>
                <c:pt idx="703">
                  <c:v>11492.49</c:v>
                </c:pt>
                <c:pt idx="704">
                  <c:v>23252.080000000002</c:v>
                </c:pt>
                <c:pt idx="705">
                  <c:v>31686.77</c:v>
                </c:pt>
                <c:pt idx="706">
                  <c:v>37278.21</c:v>
                </c:pt>
                <c:pt idx="707">
                  <c:v>12680.8</c:v>
                </c:pt>
                <c:pt idx="708">
                  <c:v>17704.669999999998</c:v>
                </c:pt>
                <c:pt idx="709">
                  <c:v>22734.66</c:v>
                </c:pt>
                <c:pt idx="710">
                  <c:v>36277.760000000002</c:v>
                </c:pt>
                <c:pt idx="711">
                  <c:v>27885.58</c:v>
                </c:pt>
                <c:pt idx="712">
                  <c:v>47079.86</c:v>
                </c:pt>
                <c:pt idx="713">
                  <c:v>30201.81</c:v>
                </c:pt>
                <c:pt idx="714">
                  <c:v>32890.28</c:v>
                </c:pt>
                <c:pt idx="715">
                  <c:v>39342.980000000003</c:v>
                </c:pt>
                <c:pt idx="716">
                  <c:v>42114.22</c:v>
                </c:pt>
                <c:pt idx="717">
                  <c:v>15011.99</c:v>
                </c:pt>
                <c:pt idx="718">
                  <c:v>42642.59</c:v>
                </c:pt>
                <c:pt idx="719">
                  <c:v>27168.79</c:v>
                </c:pt>
                <c:pt idx="720">
                  <c:v>31567.62</c:v>
                </c:pt>
                <c:pt idx="721">
                  <c:v>44401.64</c:v>
                </c:pt>
                <c:pt idx="722">
                  <c:v>5467.01</c:v>
                </c:pt>
                <c:pt idx="723">
                  <c:v>40635.519999999997</c:v>
                </c:pt>
                <c:pt idx="724">
                  <c:v>26916.23</c:v>
                </c:pt>
                <c:pt idx="725">
                  <c:v>24409.5</c:v>
                </c:pt>
                <c:pt idx="726">
                  <c:v>19600.310000000001</c:v>
                </c:pt>
                <c:pt idx="727">
                  <c:v>40119.65</c:v>
                </c:pt>
                <c:pt idx="728">
                  <c:v>33187.56</c:v>
                </c:pt>
                <c:pt idx="729">
                  <c:v>26807.040000000001</c:v>
                </c:pt>
                <c:pt idx="730">
                  <c:v>19202.88</c:v>
                </c:pt>
                <c:pt idx="731">
                  <c:v>27085.46</c:v>
                </c:pt>
                <c:pt idx="732">
                  <c:v>24462.54</c:v>
                </c:pt>
                <c:pt idx="733">
                  <c:v>25359.39</c:v>
                </c:pt>
                <c:pt idx="734">
                  <c:v>19210.66</c:v>
                </c:pt>
                <c:pt idx="735">
                  <c:v>414.13</c:v>
                </c:pt>
                <c:pt idx="736">
                  <c:v>9761.4599999999991</c:v>
                </c:pt>
                <c:pt idx="737">
                  <c:v>19284.599999999999</c:v>
                </c:pt>
                <c:pt idx="738">
                  <c:v>21098.23</c:v>
                </c:pt>
                <c:pt idx="739">
                  <c:v>1876.89</c:v>
                </c:pt>
                <c:pt idx="740">
                  <c:v>9084.0300000000007</c:v>
                </c:pt>
                <c:pt idx="741">
                  <c:v>45959.58</c:v>
                </c:pt>
                <c:pt idx="742">
                  <c:v>8692.39</c:v>
                </c:pt>
                <c:pt idx="743">
                  <c:v>45703.28</c:v>
                </c:pt>
                <c:pt idx="744">
                  <c:v>30973.53</c:v>
                </c:pt>
                <c:pt idx="745">
                  <c:v>49147.41</c:v>
                </c:pt>
                <c:pt idx="746">
                  <c:v>17533.55</c:v>
                </c:pt>
                <c:pt idx="747">
                  <c:v>18457.22</c:v>
                </c:pt>
                <c:pt idx="748">
                  <c:v>43808.06</c:v>
                </c:pt>
                <c:pt idx="749">
                  <c:v>24375.93</c:v>
                </c:pt>
                <c:pt idx="750">
                  <c:v>34969.019999999997</c:v>
                </c:pt>
                <c:pt idx="751">
                  <c:v>17299.04</c:v>
                </c:pt>
                <c:pt idx="752">
                  <c:v>10274.450000000001</c:v>
                </c:pt>
                <c:pt idx="753">
                  <c:v>24270.17</c:v>
                </c:pt>
                <c:pt idx="754">
                  <c:v>2066.9299999999998</c:v>
                </c:pt>
                <c:pt idx="755">
                  <c:v>13304.47</c:v>
                </c:pt>
                <c:pt idx="756">
                  <c:v>9442.5</c:v>
                </c:pt>
                <c:pt idx="757">
                  <c:v>25698.62</c:v>
                </c:pt>
                <c:pt idx="758">
                  <c:v>32219.95</c:v>
                </c:pt>
                <c:pt idx="759">
                  <c:v>14931.2</c:v>
                </c:pt>
                <c:pt idx="760">
                  <c:v>40783.14</c:v>
                </c:pt>
                <c:pt idx="761">
                  <c:v>17824.96</c:v>
                </c:pt>
                <c:pt idx="762">
                  <c:v>49217.41</c:v>
                </c:pt>
                <c:pt idx="763">
                  <c:v>36631.230000000003</c:v>
                </c:pt>
                <c:pt idx="764">
                  <c:v>5550.25</c:v>
                </c:pt>
                <c:pt idx="765">
                  <c:v>12225.22</c:v>
                </c:pt>
                <c:pt idx="766">
                  <c:v>19819.95</c:v>
                </c:pt>
                <c:pt idx="767">
                  <c:v>42736.43</c:v>
                </c:pt>
                <c:pt idx="768">
                  <c:v>36426.050000000003</c:v>
                </c:pt>
                <c:pt idx="769">
                  <c:v>12121.61</c:v>
                </c:pt>
                <c:pt idx="770">
                  <c:v>11824.36</c:v>
                </c:pt>
                <c:pt idx="771">
                  <c:v>988.45</c:v>
                </c:pt>
                <c:pt idx="772">
                  <c:v>13263.83</c:v>
                </c:pt>
                <c:pt idx="773">
                  <c:v>35023.550000000003</c:v>
                </c:pt>
                <c:pt idx="774">
                  <c:v>8630.9</c:v>
                </c:pt>
                <c:pt idx="775">
                  <c:v>29757.58</c:v>
                </c:pt>
                <c:pt idx="776">
                  <c:v>45538.2</c:v>
                </c:pt>
                <c:pt idx="777">
                  <c:v>19454.75</c:v>
                </c:pt>
                <c:pt idx="778">
                  <c:v>21435.84</c:v>
                </c:pt>
                <c:pt idx="779">
                  <c:v>47618.43</c:v>
                </c:pt>
                <c:pt idx="780">
                  <c:v>25110.560000000001</c:v>
                </c:pt>
                <c:pt idx="781">
                  <c:v>797.71</c:v>
                </c:pt>
                <c:pt idx="782">
                  <c:v>25235.41</c:v>
                </c:pt>
                <c:pt idx="783">
                  <c:v>43467</c:v>
                </c:pt>
                <c:pt idx="784">
                  <c:v>35691.39</c:v>
                </c:pt>
                <c:pt idx="785">
                  <c:v>28107.77</c:v>
                </c:pt>
                <c:pt idx="786">
                  <c:v>39662.1</c:v>
                </c:pt>
                <c:pt idx="787">
                  <c:v>14533.4</c:v>
                </c:pt>
                <c:pt idx="788">
                  <c:v>12322.26</c:v>
                </c:pt>
                <c:pt idx="789">
                  <c:v>18178.32</c:v>
                </c:pt>
                <c:pt idx="790">
                  <c:v>6282.93</c:v>
                </c:pt>
                <c:pt idx="791">
                  <c:v>40391.300000000003</c:v>
                </c:pt>
                <c:pt idx="792">
                  <c:v>39157.519999999997</c:v>
                </c:pt>
                <c:pt idx="793">
                  <c:v>12334.78</c:v>
                </c:pt>
                <c:pt idx="794">
                  <c:v>38573.17</c:v>
                </c:pt>
                <c:pt idx="795">
                  <c:v>18842.34</c:v>
                </c:pt>
                <c:pt idx="796">
                  <c:v>20118.349999999999</c:v>
                </c:pt>
                <c:pt idx="797">
                  <c:v>39243.449999999997</c:v>
                </c:pt>
                <c:pt idx="798">
                  <c:v>15891.66</c:v>
                </c:pt>
                <c:pt idx="799">
                  <c:v>40350.67</c:v>
                </c:pt>
                <c:pt idx="800">
                  <c:v>47545.23</c:v>
                </c:pt>
                <c:pt idx="801">
                  <c:v>17304.91</c:v>
                </c:pt>
                <c:pt idx="802">
                  <c:v>17079.990000000002</c:v>
                </c:pt>
                <c:pt idx="803">
                  <c:v>44772.959999999999</c:v>
                </c:pt>
                <c:pt idx="804">
                  <c:v>32483.32</c:v>
                </c:pt>
                <c:pt idx="805">
                  <c:v>47699.69</c:v>
                </c:pt>
                <c:pt idx="806">
                  <c:v>23127.63</c:v>
                </c:pt>
                <c:pt idx="807">
                  <c:v>16882.560000000001</c:v>
                </c:pt>
                <c:pt idx="808">
                  <c:v>32296.32</c:v>
                </c:pt>
                <c:pt idx="809">
                  <c:v>15090.15</c:v>
                </c:pt>
                <c:pt idx="810">
                  <c:v>30197.53</c:v>
                </c:pt>
                <c:pt idx="811">
                  <c:v>41544.449999999997</c:v>
                </c:pt>
                <c:pt idx="812">
                  <c:v>42593.69</c:v>
                </c:pt>
                <c:pt idx="813">
                  <c:v>26771.99</c:v>
                </c:pt>
                <c:pt idx="814">
                  <c:v>31690.41</c:v>
                </c:pt>
                <c:pt idx="815">
                  <c:v>20913.849999999999</c:v>
                </c:pt>
                <c:pt idx="816">
                  <c:v>36034.1</c:v>
                </c:pt>
                <c:pt idx="817">
                  <c:v>21646.639999999999</c:v>
                </c:pt>
                <c:pt idx="818">
                  <c:v>21553.66</c:v>
                </c:pt>
                <c:pt idx="819">
                  <c:v>17152.2</c:v>
                </c:pt>
                <c:pt idx="820">
                  <c:v>21368.29</c:v>
                </c:pt>
                <c:pt idx="821">
                  <c:v>47413.32</c:v>
                </c:pt>
                <c:pt idx="822">
                  <c:v>2716.24</c:v>
                </c:pt>
                <c:pt idx="823">
                  <c:v>45863.13</c:v>
                </c:pt>
                <c:pt idx="824">
                  <c:v>48228.959999999999</c:v>
                </c:pt>
                <c:pt idx="825">
                  <c:v>31849.439999999999</c:v>
                </c:pt>
                <c:pt idx="826">
                  <c:v>8685.69</c:v>
                </c:pt>
                <c:pt idx="827">
                  <c:v>49685.64</c:v>
                </c:pt>
                <c:pt idx="828">
                  <c:v>10921.12</c:v>
                </c:pt>
                <c:pt idx="829">
                  <c:v>33896.35</c:v>
                </c:pt>
                <c:pt idx="830">
                  <c:v>31512.79</c:v>
                </c:pt>
                <c:pt idx="831">
                  <c:v>17944.07</c:v>
                </c:pt>
                <c:pt idx="832">
                  <c:v>14145.7</c:v>
                </c:pt>
                <c:pt idx="833">
                  <c:v>33186.379999999997</c:v>
                </c:pt>
                <c:pt idx="834">
                  <c:v>24537.11</c:v>
                </c:pt>
                <c:pt idx="835">
                  <c:v>7989.47</c:v>
                </c:pt>
                <c:pt idx="836">
                  <c:v>9784.56</c:v>
                </c:pt>
                <c:pt idx="837">
                  <c:v>47021.1</c:v>
                </c:pt>
                <c:pt idx="838">
                  <c:v>28747.47</c:v>
                </c:pt>
                <c:pt idx="839">
                  <c:v>35093.39</c:v>
                </c:pt>
                <c:pt idx="840">
                  <c:v>22843.06</c:v>
                </c:pt>
                <c:pt idx="841">
                  <c:v>38502.79</c:v>
                </c:pt>
                <c:pt idx="842">
                  <c:v>45283.42</c:v>
                </c:pt>
                <c:pt idx="843">
                  <c:v>37149.97</c:v>
                </c:pt>
                <c:pt idx="844">
                  <c:v>23566.47</c:v>
                </c:pt>
                <c:pt idx="845">
                  <c:v>1557.12</c:v>
                </c:pt>
                <c:pt idx="846">
                  <c:v>38929.370000000003</c:v>
                </c:pt>
                <c:pt idx="847">
                  <c:v>43357.83</c:v>
                </c:pt>
                <c:pt idx="848">
                  <c:v>30091.26</c:v>
                </c:pt>
                <c:pt idx="849">
                  <c:v>3051.95</c:v>
                </c:pt>
                <c:pt idx="850">
                  <c:v>31063.57</c:v>
                </c:pt>
                <c:pt idx="851">
                  <c:v>5580.23</c:v>
                </c:pt>
                <c:pt idx="852">
                  <c:v>35859.94</c:v>
                </c:pt>
                <c:pt idx="853">
                  <c:v>47893</c:v>
                </c:pt>
                <c:pt idx="854">
                  <c:v>47996.02</c:v>
                </c:pt>
                <c:pt idx="855">
                  <c:v>42500.65</c:v>
                </c:pt>
                <c:pt idx="856">
                  <c:v>7543.31</c:v>
                </c:pt>
                <c:pt idx="857">
                  <c:v>7779.34</c:v>
                </c:pt>
                <c:pt idx="858">
                  <c:v>35959.07</c:v>
                </c:pt>
                <c:pt idx="859">
                  <c:v>9471.49</c:v>
                </c:pt>
                <c:pt idx="860">
                  <c:v>26327.39</c:v>
                </c:pt>
                <c:pt idx="861">
                  <c:v>48313.36</c:v>
                </c:pt>
                <c:pt idx="862">
                  <c:v>45217.919999999998</c:v>
                </c:pt>
                <c:pt idx="863">
                  <c:v>40130.21</c:v>
                </c:pt>
                <c:pt idx="864">
                  <c:v>283.10000000000002</c:v>
                </c:pt>
                <c:pt idx="865">
                  <c:v>7521.13</c:v>
                </c:pt>
                <c:pt idx="866">
                  <c:v>8055.03</c:v>
                </c:pt>
                <c:pt idx="867">
                  <c:v>28263.33</c:v>
                </c:pt>
                <c:pt idx="868">
                  <c:v>12941.53</c:v>
                </c:pt>
                <c:pt idx="869">
                  <c:v>27918.98</c:v>
                </c:pt>
                <c:pt idx="870">
                  <c:v>21349.35</c:v>
                </c:pt>
                <c:pt idx="871">
                  <c:v>27648.52</c:v>
                </c:pt>
                <c:pt idx="872">
                  <c:v>39484.31</c:v>
                </c:pt>
                <c:pt idx="873">
                  <c:v>2417.66</c:v>
                </c:pt>
                <c:pt idx="874">
                  <c:v>40104.71</c:v>
                </c:pt>
                <c:pt idx="875">
                  <c:v>22929.61</c:v>
                </c:pt>
                <c:pt idx="876">
                  <c:v>23757.31</c:v>
                </c:pt>
                <c:pt idx="877">
                  <c:v>6769.87</c:v>
                </c:pt>
                <c:pt idx="878">
                  <c:v>7104.93</c:v>
                </c:pt>
                <c:pt idx="879">
                  <c:v>35430.53</c:v>
                </c:pt>
                <c:pt idx="880">
                  <c:v>44811.59</c:v>
                </c:pt>
                <c:pt idx="881">
                  <c:v>16661.37</c:v>
                </c:pt>
                <c:pt idx="882">
                  <c:v>14207.04</c:v>
                </c:pt>
                <c:pt idx="883">
                  <c:v>3220.99</c:v>
                </c:pt>
                <c:pt idx="884">
                  <c:v>21572.48</c:v>
                </c:pt>
                <c:pt idx="885">
                  <c:v>38808.879999999997</c:v>
                </c:pt>
                <c:pt idx="886">
                  <c:v>6525.25</c:v>
                </c:pt>
                <c:pt idx="887">
                  <c:v>36721.83</c:v>
                </c:pt>
                <c:pt idx="888">
                  <c:v>16506.48</c:v>
                </c:pt>
                <c:pt idx="889">
                  <c:v>45273.26</c:v>
                </c:pt>
                <c:pt idx="890">
                  <c:v>15061.67</c:v>
                </c:pt>
                <c:pt idx="891">
                  <c:v>30814.91</c:v>
                </c:pt>
                <c:pt idx="892">
                  <c:v>36507.56</c:v>
                </c:pt>
                <c:pt idx="893">
                  <c:v>31247.14</c:v>
                </c:pt>
                <c:pt idx="894">
                  <c:v>15350</c:v>
                </c:pt>
                <c:pt idx="895">
                  <c:v>7148.05</c:v>
                </c:pt>
                <c:pt idx="896">
                  <c:v>25411.08</c:v>
                </c:pt>
                <c:pt idx="897">
                  <c:v>28254.51</c:v>
                </c:pt>
                <c:pt idx="898">
                  <c:v>5069.79</c:v>
                </c:pt>
                <c:pt idx="899">
                  <c:v>39619.15</c:v>
                </c:pt>
                <c:pt idx="900">
                  <c:v>42494.73</c:v>
                </c:pt>
                <c:pt idx="901">
                  <c:v>24739.29</c:v>
                </c:pt>
                <c:pt idx="902">
                  <c:v>43166.95</c:v>
                </c:pt>
                <c:pt idx="903">
                  <c:v>43613.07</c:v>
                </c:pt>
                <c:pt idx="904">
                  <c:v>20357.349999999999</c:v>
                </c:pt>
                <c:pt idx="905">
                  <c:v>40193.89</c:v>
                </c:pt>
                <c:pt idx="906">
                  <c:v>9063.83</c:v>
                </c:pt>
                <c:pt idx="907">
                  <c:v>21830.06</c:v>
                </c:pt>
                <c:pt idx="908">
                  <c:v>39424.04</c:v>
                </c:pt>
                <c:pt idx="909">
                  <c:v>30743.1</c:v>
                </c:pt>
                <c:pt idx="910">
                  <c:v>10131.58</c:v>
                </c:pt>
                <c:pt idx="911">
                  <c:v>20875.52</c:v>
                </c:pt>
                <c:pt idx="912">
                  <c:v>43152.69</c:v>
                </c:pt>
                <c:pt idx="913">
                  <c:v>3239.94</c:v>
                </c:pt>
                <c:pt idx="914">
                  <c:v>10625.65</c:v>
                </c:pt>
                <c:pt idx="915">
                  <c:v>30169.38</c:v>
                </c:pt>
                <c:pt idx="916">
                  <c:v>29914.46</c:v>
                </c:pt>
                <c:pt idx="917">
                  <c:v>30991.63</c:v>
                </c:pt>
                <c:pt idx="918">
                  <c:v>15799.46</c:v>
                </c:pt>
                <c:pt idx="919">
                  <c:v>10404.98</c:v>
                </c:pt>
                <c:pt idx="920">
                  <c:v>21496.95</c:v>
                </c:pt>
                <c:pt idx="921">
                  <c:v>42785.56</c:v>
                </c:pt>
                <c:pt idx="922">
                  <c:v>9123.6</c:v>
                </c:pt>
                <c:pt idx="923">
                  <c:v>35834.15</c:v>
                </c:pt>
                <c:pt idx="924">
                  <c:v>653.97</c:v>
                </c:pt>
                <c:pt idx="925">
                  <c:v>3846.65</c:v>
                </c:pt>
                <c:pt idx="926">
                  <c:v>40522.559999999998</c:v>
                </c:pt>
                <c:pt idx="927">
                  <c:v>39917.24</c:v>
                </c:pt>
                <c:pt idx="928">
                  <c:v>23886.69</c:v>
                </c:pt>
                <c:pt idx="929">
                  <c:v>46629.03</c:v>
                </c:pt>
                <c:pt idx="930">
                  <c:v>27478.45</c:v>
                </c:pt>
                <c:pt idx="931">
                  <c:v>4925.05</c:v>
                </c:pt>
                <c:pt idx="932">
                  <c:v>35023.64</c:v>
                </c:pt>
                <c:pt idx="933">
                  <c:v>49387.199999999997</c:v>
                </c:pt>
                <c:pt idx="934">
                  <c:v>30607.95</c:v>
                </c:pt>
                <c:pt idx="935">
                  <c:v>7627.77</c:v>
                </c:pt>
                <c:pt idx="936">
                  <c:v>44146.06</c:v>
                </c:pt>
                <c:pt idx="937">
                  <c:v>31015.64</c:v>
                </c:pt>
                <c:pt idx="938">
                  <c:v>47743.08</c:v>
                </c:pt>
                <c:pt idx="939">
                  <c:v>12754.35</c:v>
                </c:pt>
                <c:pt idx="940">
                  <c:v>45883.95</c:v>
                </c:pt>
                <c:pt idx="941">
                  <c:v>16990.849999999999</c:v>
                </c:pt>
                <c:pt idx="942">
                  <c:v>20191.53</c:v>
                </c:pt>
                <c:pt idx="943">
                  <c:v>46866.95</c:v>
                </c:pt>
                <c:pt idx="944">
                  <c:v>20319.29</c:v>
                </c:pt>
                <c:pt idx="945">
                  <c:v>31857.18</c:v>
                </c:pt>
                <c:pt idx="946">
                  <c:v>4160.7700000000004</c:v>
                </c:pt>
                <c:pt idx="947">
                  <c:v>47314.42</c:v>
                </c:pt>
                <c:pt idx="948">
                  <c:v>34569.56</c:v>
                </c:pt>
                <c:pt idx="949">
                  <c:v>29747.29</c:v>
                </c:pt>
                <c:pt idx="950">
                  <c:v>24450.18</c:v>
                </c:pt>
                <c:pt idx="951">
                  <c:v>13994.12</c:v>
                </c:pt>
                <c:pt idx="952">
                  <c:v>23583.66</c:v>
                </c:pt>
                <c:pt idx="953">
                  <c:v>25138.65</c:v>
                </c:pt>
                <c:pt idx="954">
                  <c:v>25618.42</c:v>
                </c:pt>
                <c:pt idx="955">
                  <c:v>42044.69</c:v>
                </c:pt>
                <c:pt idx="956">
                  <c:v>33475.97</c:v>
                </c:pt>
                <c:pt idx="957">
                  <c:v>29215.06</c:v>
                </c:pt>
                <c:pt idx="958">
                  <c:v>34619.769999999997</c:v>
                </c:pt>
                <c:pt idx="959">
                  <c:v>33480.07</c:v>
                </c:pt>
                <c:pt idx="960">
                  <c:v>8532.9</c:v>
                </c:pt>
                <c:pt idx="961">
                  <c:v>31899.759999999998</c:v>
                </c:pt>
                <c:pt idx="962">
                  <c:v>30847.69</c:v>
                </c:pt>
                <c:pt idx="963">
                  <c:v>39578.6</c:v>
                </c:pt>
                <c:pt idx="964">
                  <c:v>35028.53</c:v>
                </c:pt>
                <c:pt idx="965">
                  <c:v>6287.85</c:v>
                </c:pt>
                <c:pt idx="966">
                  <c:v>32751.77</c:v>
                </c:pt>
                <c:pt idx="967">
                  <c:v>24421.73</c:v>
                </c:pt>
                <c:pt idx="968">
                  <c:v>31739.18</c:v>
                </c:pt>
                <c:pt idx="969">
                  <c:v>6976.56</c:v>
                </c:pt>
                <c:pt idx="970">
                  <c:v>9989.0400000000009</c:v>
                </c:pt>
                <c:pt idx="971">
                  <c:v>43146.39</c:v>
                </c:pt>
                <c:pt idx="972">
                  <c:v>48566.78</c:v>
                </c:pt>
                <c:pt idx="973">
                  <c:v>6189.16</c:v>
                </c:pt>
                <c:pt idx="974">
                  <c:v>46910.35</c:v>
                </c:pt>
                <c:pt idx="975">
                  <c:v>25737.43</c:v>
                </c:pt>
                <c:pt idx="976">
                  <c:v>38656.449999999997</c:v>
                </c:pt>
                <c:pt idx="977">
                  <c:v>44566.74</c:v>
                </c:pt>
                <c:pt idx="978">
                  <c:v>16513.54</c:v>
                </c:pt>
                <c:pt idx="979">
                  <c:v>5066.4399999999996</c:v>
                </c:pt>
                <c:pt idx="980">
                  <c:v>46852.2</c:v>
                </c:pt>
                <c:pt idx="981">
                  <c:v>18013.259999999998</c:v>
                </c:pt>
                <c:pt idx="982">
                  <c:v>36188.720000000001</c:v>
                </c:pt>
                <c:pt idx="983">
                  <c:v>33517.79</c:v>
                </c:pt>
                <c:pt idx="984">
                  <c:v>3375.35</c:v>
                </c:pt>
                <c:pt idx="985">
                  <c:v>34140.07</c:v>
                </c:pt>
                <c:pt idx="986">
                  <c:v>17345.150000000001</c:v>
                </c:pt>
                <c:pt idx="987">
                  <c:v>46527.93</c:v>
                </c:pt>
                <c:pt idx="988">
                  <c:v>21819.5</c:v>
                </c:pt>
                <c:pt idx="989">
                  <c:v>26365.27</c:v>
                </c:pt>
                <c:pt idx="990">
                  <c:v>34835.550000000003</c:v>
                </c:pt>
                <c:pt idx="991">
                  <c:v>44625.98</c:v>
                </c:pt>
                <c:pt idx="992">
                  <c:v>7279.34</c:v>
                </c:pt>
                <c:pt idx="993">
                  <c:v>37930.19</c:v>
                </c:pt>
                <c:pt idx="994">
                  <c:v>44322.64</c:v>
                </c:pt>
                <c:pt idx="995">
                  <c:v>35405.54</c:v>
                </c:pt>
                <c:pt idx="996">
                  <c:v>18454.650000000001</c:v>
                </c:pt>
                <c:pt idx="997">
                  <c:v>12971.59</c:v>
                </c:pt>
                <c:pt idx="998">
                  <c:v>2879.01</c:v>
                </c:pt>
                <c:pt idx="999">
                  <c:v>22493.87</c:v>
                </c:pt>
              </c:numCache>
            </c:numRef>
          </c:xVal>
          <c:yVal>
            <c:numRef>
              <c:f>Cleaned_Sales_Dataset!$L$2:$L$1001</c:f>
              <c:numCache>
                <c:formatCode>General</c:formatCode>
                <c:ptCount val="1000"/>
                <c:pt idx="0">
                  <c:v>19808.39</c:v>
                </c:pt>
                <c:pt idx="1">
                  <c:v>139530.79999999999</c:v>
                </c:pt>
                <c:pt idx="2">
                  <c:v>299928.48</c:v>
                </c:pt>
                <c:pt idx="3">
                  <c:v>256872.24</c:v>
                </c:pt>
                <c:pt idx="4">
                  <c:v>140365.9</c:v>
                </c:pt>
                <c:pt idx="5">
                  <c:v>323527.23</c:v>
                </c:pt>
                <c:pt idx="6">
                  <c:v>299985.18</c:v>
                </c:pt>
                <c:pt idx="7">
                  <c:v>28466.49</c:v>
                </c:pt>
                <c:pt idx="8">
                  <c:v>116929.38</c:v>
                </c:pt>
                <c:pt idx="9">
                  <c:v>144194.72</c:v>
                </c:pt>
                <c:pt idx="10">
                  <c:v>42454.26</c:v>
                </c:pt>
                <c:pt idx="11">
                  <c:v>283052.58</c:v>
                </c:pt>
                <c:pt idx="12">
                  <c:v>37068.400000000001</c:v>
                </c:pt>
                <c:pt idx="13">
                  <c:v>96340.160000000003</c:v>
                </c:pt>
                <c:pt idx="14">
                  <c:v>203722.48</c:v>
                </c:pt>
                <c:pt idx="15">
                  <c:v>201110.9</c:v>
                </c:pt>
                <c:pt idx="16">
                  <c:v>401091.2</c:v>
                </c:pt>
                <c:pt idx="17">
                  <c:v>7280.64</c:v>
                </c:pt>
                <c:pt idx="18">
                  <c:v>30612.95</c:v>
                </c:pt>
                <c:pt idx="19">
                  <c:v>190162.88</c:v>
                </c:pt>
                <c:pt idx="20">
                  <c:v>2344.98</c:v>
                </c:pt>
                <c:pt idx="21">
                  <c:v>107774.59</c:v>
                </c:pt>
                <c:pt idx="22">
                  <c:v>315765</c:v>
                </c:pt>
                <c:pt idx="23">
                  <c:v>22254.12</c:v>
                </c:pt>
                <c:pt idx="24">
                  <c:v>252489.02</c:v>
                </c:pt>
                <c:pt idx="25">
                  <c:v>354730.14</c:v>
                </c:pt>
                <c:pt idx="26">
                  <c:v>47674.82</c:v>
                </c:pt>
                <c:pt idx="27">
                  <c:v>72673.95</c:v>
                </c:pt>
                <c:pt idx="28">
                  <c:v>213936.9</c:v>
                </c:pt>
                <c:pt idx="29">
                  <c:v>42764.32</c:v>
                </c:pt>
                <c:pt idx="30">
                  <c:v>15831.03</c:v>
                </c:pt>
                <c:pt idx="31">
                  <c:v>174333.28</c:v>
                </c:pt>
                <c:pt idx="32">
                  <c:v>87780.4</c:v>
                </c:pt>
                <c:pt idx="33">
                  <c:v>234114.2</c:v>
                </c:pt>
                <c:pt idx="34">
                  <c:v>191586.8</c:v>
                </c:pt>
                <c:pt idx="35">
                  <c:v>359291.92</c:v>
                </c:pt>
                <c:pt idx="36">
                  <c:v>285227.53000000003</c:v>
                </c:pt>
                <c:pt idx="37">
                  <c:v>19176.32</c:v>
                </c:pt>
                <c:pt idx="38">
                  <c:v>234167.84</c:v>
                </c:pt>
                <c:pt idx="39">
                  <c:v>3992.85</c:v>
                </c:pt>
                <c:pt idx="40">
                  <c:v>221829.7</c:v>
                </c:pt>
                <c:pt idx="41">
                  <c:v>119662.88</c:v>
                </c:pt>
                <c:pt idx="42">
                  <c:v>99128.639999999999</c:v>
                </c:pt>
                <c:pt idx="43">
                  <c:v>86394.66</c:v>
                </c:pt>
                <c:pt idx="44">
                  <c:v>13424.67</c:v>
                </c:pt>
                <c:pt idx="45">
                  <c:v>12420.48</c:v>
                </c:pt>
                <c:pt idx="46">
                  <c:v>95299.22</c:v>
                </c:pt>
                <c:pt idx="47">
                  <c:v>124270.25</c:v>
                </c:pt>
                <c:pt idx="48">
                  <c:v>277513.83</c:v>
                </c:pt>
                <c:pt idx="49">
                  <c:v>123371.82</c:v>
                </c:pt>
                <c:pt idx="50">
                  <c:v>493677.5</c:v>
                </c:pt>
                <c:pt idx="51">
                  <c:v>27936.6</c:v>
                </c:pt>
                <c:pt idx="52">
                  <c:v>296420.74</c:v>
                </c:pt>
                <c:pt idx="53">
                  <c:v>264230.68</c:v>
                </c:pt>
                <c:pt idx="54">
                  <c:v>66608.34</c:v>
                </c:pt>
                <c:pt idx="55">
                  <c:v>246944.64000000001</c:v>
                </c:pt>
                <c:pt idx="56">
                  <c:v>333687.40999999997</c:v>
                </c:pt>
                <c:pt idx="57">
                  <c:v>44708.5</c:v>
                </c:pt>
                <c:pt idx="58">
                  <c:v>184045.4</c:v>
                </c:pt>
                <c:pt idx="59">
                  <c:v>101171.88</c:v>
                </c:pt>
                <c:pt idx="60">
                  <c:v>29263.26</c:v>
                </c:pt>
                <c:pt idx="61">
                  <c:v>17039.73</c:v>
                </c:pt>
                <c:pt idx="62">
                  <c:v>277415.76</c:v>
                </c:pt>
                <c:pt idx="63">
                  <c:v>244476.54</c:v>
                </c:pt>
                <c:pt idx="64">
                  <c:v>89054.9</c:v>
                </c:pt>
                <c:pt idx="65">
                  <c:v>174065.2</c:v>
                </c:pt>
                <c:pt idx="66">
                  <c:v>136832.9</c:v>
                </c:pt>
                <c:pt idx="67">
                  <c:v>206413.15</c:v>
                </c:pt>
                <c:pt idx="68">
                  <c:v>109163.28</c:v>
                </c:pt>
                <c:pt idx="69">
                  <c:v>218701.12</c:v>
                </c:pt>
                <c:pt idx="70">
                  <c:v>146098.6</c:v>
                </c:pt>
                <c:pt idx="71">
                  <c:v>25717.95</c:v>
                </c:pt>
                <c:pt idx="72">
                  <c:v>408776.58</c:v>
                </c:pt>
                <c:pt idx="73">
                  <c:v>86397.04</c:v>
                </c:pt>
                <c:pt idx="74">
                  <c:v>17766.900000000001</c:v>
                </c:pt>
                <c:pt idx="75">
                  <c:v>110614.05</c:v>
                </c:pt>
                <c:pt idx="76">
                  <c:v>64707.839999999997</c:v>
                </c:pt>
                <c:pt idx="77">
                  <c:v>35862.339999999997</c:v>
                </c:pt>
                <c:pt idx="78">
                  <c:v>13129.64</c:v>
                </c:pt>
                <c:pt idx="79">
                  <c:v>411726.33</c:v>
                </c:pt>
                <c:pt idx="80">
                  <c:v>35099.339999999997</c:v>
                </c:pt>
                <c:pt idx="81">
                  <c:v>439609.5</c:v>
                </c:pt>
                <c:pt idx="82">
                  <c:v>223452.45</c:v>
                </c:pt>
                <c:pt idx="83">
                  <c:v>142731.20000000001</c:v>
                </c:pt>
                <c:pt idx="84">
                  <c:v>136626.6</c:v>
                </c:pt>
                <c:pt idx="85">
                  <c:v>48677.96</c:v>
                </c:pt>
                <c:pt idx="86">
                  <c:v>2094.36</c:v>
                </c:pt>
                <c:pt idx="87">
                  <c:v>163989.92000000001</c:v>
                </c:pt>
                <c:pt idx="88">
                  <c:v>118002.51</c:v>
                </c:pt>
                <c:pt idx="89">
                  <c:v>405004.41</c:v>
                </c:pt>
                <c:pt idx="90">
                  <c:v>6910.12</c:v>
                </c:pt>
                <c:pt idx="91">
                  <c:v>230997.12</c:v>
                </c:pt>
                <c:pt idx="92">
                  <c:v>143752.47</c:v>
                </c:pt>
                <c:pt idx="93">
                  <c:v>213995.1</c:v>
                </c:pt>
                <c:pt idx="94">
                  <c:v>75639.399999999994</c:v>
                </c:pt>
                <c:pt idx="95">
                  <c:v>291741.38</c:v>
                </c:pt>
                <c:pt idx="96">
                  <c:v>407455.5</c:v>
                </c:pt>
                <c:pt idx="97">
                  <c:v>62434.239999999998</c:v>
                </c:pt>
                <c:pt idx="98">
                  <c:v>2768.1</c:v>
                </c:pt>
                <c:pt idx="99">
                  <c:v>27898.639999999999</c:v>
                </c:pt>
                <c:pt idx="100">
                  <c:v>174940.92</c:v>
                </c:pt>
                <c:pt idx="101">
                  <c:v>122561.37</c:v>
                </c:pt>
                <c:pt idx="102">
                  <c:v>311180.64</c:v>
                </c:pt>
                <c:pt idx="103">
                  <c:v>51282.42</c:v>
                </c:pt>
                <c:pt idx="104">
                  <c:v>323841.07</c:v>
                </c:pt>
                <c:pt idx="105">
                  <c:v>5629.1</c:v>
                </c:pt>
                <c:pt idx="106">
                  <c:v>328896.40000000002</c:v>
                </c:pt>
                <c:pt idx="107">
                  <c:v>147307.51999999999</c:v>
                </c:pt>
                <c:pt idx="108">
                  <c:v>128419.56</c:v>
                </c:pt>
                <c:pt idx="109">
                  <c:v>33198</c:v>
                </c:pt>
                <c:pt idx="110">
                  <c:v>7916.91</c:v>
                </c:pt>
                <c:pt idx="111">
                  <c:v>100010.88</c:v>
                </c:pt>
                <c:pt idx="112">
                  <c:v>103917.5</c:v>
                </c:pt>
                <c:pt idx="113">
                  <c:v>224371.6</c:v>
                </c:pt>
                <c:pt idx="114">
                  <c:v>369482.04</c:v>
                </c:pt>
                <c:pt idx="115">
                  <c:v>42782.38</c:v>
                </c:pt>
                <c:pt idx="116">
                  <c:v>147500.76</c:v>
                </c:pt>
                <c:pt idx="117">
                  <c:v>166562.96</c:v>
                </c:pt>
                <c:pt idx="118">
                  <c:v>51591.1</c:v>
                </c:pt>
                <c:pt idx="119">
                  <c:v>35133.760000000002</c:v>
                </c:pt>
                <c:pt idx="120">
                  <c:v>36304.28</c:v>
                </c:pt>
                <c:pt idx="121">
                  <c:v>113778.84</c:v>
                </c:pt>
                <c:pt idx="122">
                  <c:v>19026.349999999999</c:v>
                </c:pt>
                <c:pt idx="123">
                  <c:v>325425.87</c:v>
                </c:pt>
                <c:pt idx="124">
                  <c:v>17041.21</c:v>
                </c:pt>
                <c:pt idx="125">
                  <c:v>248966.58</c:v>
                </c:pt>
                <c:pt idx="126">
                  <c:v>259301</c:v>
                </c:pt>
                <c:pt idx="127">
                  <c:v>210254.64</c:v>
                </c:pt>
                <c:pt idx="128">
                  <c:v>174666.56</c:v>
                </c:pt>
                <c:pt idx="129">
                  <c:v>243462.6</c:v>
                </c:pt>
                <c:pt idx="130">
                  <c:v>195199.8</c:v>
                </c:pt>
                <c:pt idx="131">
                  <c:v>299029.7</c:v>
                </c:pt>
                <c:pt idx="132">
                  <c:v>132772.22</c:v>
                </c:pt>
                <c:pt idx="133">
                  <c:v>429431.7</c:v>
                </c:pt>
                <c:pt idx="134">
                  <c:v>145301.46</c:v>
                </c:pt>
                <c:pt idx="135">
                  <c:v>63845.1</c:v>
                </c:pt>
                <c:pt idx="136">
                  <c:v>148740.85</c:v>
                </c:pt>
                <c:pt idx="137">
                  <c:v>180509.76</c:v>
                </c:pt>
                <c:pt idx="138">
                  <c:v>121251.76</c:v>
                </c:pt>
                <c:pt idx="139">
                  <c:v>226245.78</c:v>
                </c:pt>
                <c:pt idx="140">
                  <c:v>203324.1</c:v>
                </c:pt>
                <c:pt idx="141">
                  <c:v>181063.26</c:v>
                </c:pt>
                <c:pt idx="142">
                  <c:v>85717.2</c:v>
                </c:pt>
                <c:pt idx="143">
                  <c:v>27593.599999999999</c:v>
                </c:pt>
                <c:pt idx="144">
                  <c:v>20740.93</c:v>
                </c:pt>
                <c:pt idx="145">
                  <c:v>112729.05</c:v>
                </c:pt>
                <c:pt idx="146">
                  <c:v>122496.24</c:v>
                </c:pt>
                <c:pt idx="147">
                  <c:v>16185.56</c:v>
                </c:pt>
                <c:pt idx="148">
                  <c:v>7894.56</c:v>
                </c:pt>
                <c:pt idx="149">
                  <c:v>333996.40000000002</c:v>
                </c:pt>
                <c:pt idx="150">
                  <c:v>439499.43</c:v>
                </c:pt>
                <c:pt idx="151">
                  <c:v>340497.71</c:v>
                </c:pt>
                <c:pt idx="152">
                  <c:v>169196.64</c:v>
                </c:pt>
                <c:pt idx="153">
                  <c:v>191167.55</c:v>
                </c:pt>
                <c:pt idx="154">
                  <c:v>26010.12</c:v>
                </c:pt>
                <c:pt idx="155">
                  <c:v>36587.919999999998</c:v>
                </c:pt>
                <c:pt idx="156">
                  <c:v>81620.02</c:v>
                </c:pt>
                <c:pt idx="157">
                  <c:v>199283</c:v>
                </c:pt>
                <c:pt idx="158">
                  <c:v>10851.3</c:v>
                </c:pt>
                <c:pt idx="159">
                  <c:v>437.34</c:v>
                </c:pt>
                <c:pt idx="160">
                  <c:v>203724.09</c:v>
                </c:pt>
                <c:pt idx="161">
                  <c:v>238983.9</c:v>
                </c:pt>
                <c:pt idx="162">
                  <c:v>410547.20000000001</c:v>
                </c:pt>
                <c:pt idx="163">
                  <c:v>141200.44</c:v>
                </c:pt>
                <c:pt idx="164">
                  <c:v>125266.25</c:v>
                </c:pt>
                <c:pt idx="165">
                  <c:v>165724.79</c:v>
                </c:pt>
                <c:pt idx="166">
                  <c:v>299490.08</c:v>
                </c:pt>
                <c:pt idx="167">
                  <c:v>317305.7</c:v>
                </c:pt>
                <c:pt idx="168">
                  <c:v>120557.08</c:v>
                </c:pt>
                <c:pt idx="169">
                  <c:v>30869.01</c:v>
                </c:pt>
                <c:pt idx="170">
                  <c:v>8906.18</c:v>
                </c:pt>
                <c:pt idx="171">
                  <c:v>43713.279999999999</c:v>
                </c:pt>
                <c:pt idx="172">
                  <c:v>241032.51</c:v>
                </c:pt>
                <c:pt idx="173">
                  <c:v>444513.78</c:v>
                </c:pt>
                <c:pt idx="174">
                  <c:v>196134.84</c:v>
                </c:pt>
                <c:pt idx="175">
                  <c:v>67401.84</c:v>
                </c:pt>
                <c:pt idx="176">
                  <c:v>28196.26</c:v>
                </c:pt>
                <c:pt idx="177">
                  <c:v>102099.33</c:v>
                </c:pt>
                <c:pt idx="178">
                  <c:v>7119.05</c:v>
                </c:pt>
                <c:pt idx="179">
                  <c:v>237884.56</c:v>
                </c:pt>
                <c:pt idx="180">
                  <c:v>10367</c:v>
                </c:pt>
                <c:pt idx="181">
                  <c:v>185034.88</c:v>
                </c:pt>
                <c:pt idx="182">
                  <c:v>88672.76</c:v>
                </c:pt>
                <c:pt idx="183">
                  <c:v>14919.85</c:v>
                </c:pt>
                <c:pt idx="184">
                  <c:v>26461.65</c:v>
                </c:pt>
                <c:pt idx="185">
                  <c:v>21001.73</c:v>
                </c:pt>
                <c:pt idx="186">
                  <c:v>150907.5</c:v>
                </c:pt>
                <c:pt idx="187">
                  <c:v>143878.14000000001</c:v>
                </c:pt>
                <c:pt idx="188">
                  <c:v>38214.199999999997</c:v>
                </c:pt>
                <c:pt idx="189">
                  <c:v>19590.5</c:v>
                </c:pt>
                <c:pt idx="190">
                  <c:v>105841.56</c:v>
                </c:pt>
                <c:pt idx="191">
                  <c:v>54797.1</c:v>
                </c:pt>
                <c:pt idx="192">
                  <c:v>274083.59999999998</c:v>
                </c:pt>
                <c:pt idx="193">
                  <c:v>89287.2</c:v>
                </c:pt>
                <c:pt idx="194">
                  <c:v>219937.28</c:v>
                </c:pt>
                <c:pt idx="195">
                  <c:v>35489.21</c:v>
                </c:pt>
                <c:pt idx="196">
                  <c:v>252084.4</c:v>
                </c:pt>
                <c:pt idx="197">
                  <c:v>16633.849999999999</c:v>
                </c:pt>
                <c:pt idx="198">
                  <c:v>220868.4</c:v>
                </c:pt>
                <c:pt idx="199">
                  <c:v>178648.82</c:v>
                </c:pt>
                <c:pt idx="200">
                  <c:v>142635.56</c:v>
                </c:pt>
                <c:pt idx="201">
                  <c:v>144704.16</c:v>
                </c:pt>
                <c:pt idx="202">
                  <c:v>48123.87</c:v>
                </c:pt>
                <c:pt idx="203">
                  <c:v>148803.66</c:v>
                </c:pt>
                <c:pt idx="204">
                  <c:v>16714.64</c:v>
                </c:pt>
                <c:pt idx="205">
                  <c:v>185424.32</c:v>
                </c:pt>
                <c:pt idx="206">
                  <c:v>21090.240000000002</c:v>
                </c:pt>
                <c:pt idx="207">
                  <c:v>208852.56</c:v>
                </c:pt>
                <c:pt idx="208">
                  <c:v>177138.7</c:v>
                </c:pt>
                <c:pt idx="209">
                  <c:v>13263.99</c:v>
                </c:pt>
                <c:pt idx="210">
                  <c:v>49067.82</c:v>
                </c:pt>
                <c:pt idx="211">
                  <c:v>111865.08</c:v>
                </c:pt>
                <c:pt idx="212">
                  <c:v>130165.29</c:v>
                </c:pt>
                <c:pt idx="213">
                  <c:v>29838.32</c:v>
                </c:pt>
                <c:pt idx="214">
                  <c:v>47542</c:v>
                </c:pt>
                <c:pt idx="215">
                  <c:v>156219.79999999999</c:v>
                </c:pt>
                <c:pt idx="216">
                  <c:v>121853.1</c:v>
                </c:pt>
                <c:pt idx="217">
                  <c:v>62199.8</c:v>
                </c:pt>
                <c:pt idx="218">
                  <c:v>34192.300000000003</c:v>
                </c:pt>
                <c:pt idx="219">
                  <c:v>24428.2</c:v>
                </c:pt>
                <c:pt idx="220">
                  <c:v>490866.4</c:v>
                </c:pt>
                <c:pt idx="221">
                  <c:v>163236.96</c:v>
                </c:pt>
                <c:pt idx="222">
                  <c:v>394778.24</c:v>
                </c:pt>
                <c:pt idx="223">
                  <c:v>25336.7</c:v>
                </c:pt>
                <c:pt idx="224">
                  <c:v>36805.550000000003</c:v>
                </c:pt>
                <c:pt idx="225">
                  <c:v>132823.76</c:v>
                </c:pt>
                <c:pt idx="226">
                  <c:v>86438.080000000002</c:v>
                </c:pt>
                <c:pt idx="227">
                  <c:v>330723.90000000002</c:v>
                </c:pt>
                <c:pt idx="228">
                  <c:v>280078.14</c:v>
                </c:pt>
                <c:pt idx="229">
                  <c:v>53794.02</c:v>
                </c:pt>
                <c:pt idx="230">
                  <c:v>22073.279999999999</c:v>
                </c:pt>
                <c:pt idx="231">
                  <c:v>107317.63</c:v>
                </c:pt>
                <c:pt idx="232">
                  <c:v>41626.11</c:v>
                </c:pt>
                <c:pt idx="233">
                  <c:v>267836.96000000002</c:v>
                </c:pt>
                <c:pt idx="234">
                  <c:v>397220.94</c:v>
                </c:pt>
                <c:pt idx="235">
                  <c:v>45048.9</c:v>
                </c:pt>
                <c:pt idx="236">
                  <c:v>200976.86</c:v>
                </c:pt>
                <c:pt idx="237">
                  <c:v>153373.79999999999</c:v>
                </c:pt>
                <c:pt idx="238">
                  <c:v>8582.49</c:v>
                </c:pt>
                <c:pt idx="239">
                  <c:v>5944.12</c:v>
                </c:pt>
                <c:pt idx="240">
                  <c:v>33273.360000000001</c:v>
                </c:pt>
                <c:pt idx="241">
                  <c:v>43529.29</c:v>
                </c:pt>
                <c:pt idx="242">
                  <c:v>296462.59999999998</c:v>
                </c:pt>
                <c:pt idx="243">
                  <c:v>74724.160000000003</c:v>
                </c:pt>
                <c:pt idx="244">
                  <c:v>178309.16</c:v>
                </c:pt>
                <c:pt idx="245">
                  <c:v>219522.18</c:v>
                </c:pt>
                <c:pt idx="246">
                  <c:v>75833.37</c:v>
                </c:pt>
                <c:pt idx="247">
                  <c:v>308555</c:v>
                </c:pt>
                <c:pt idx="248">
                  <c:v>138808.10999999999</c:v>
                </c:pt>
                <c:pt idx="249">
                  <c:v>325228.19</c:v>
                </c:pt>
                <c:pt idx="250">
                  <c:v>64336.72</c:v>
                </c:pt>
                <c:pt idx="251">
                  <c:v>3310.72</c:v>
                </c:pt>
                <c:pt idx="252">
                  <c:v>177852.72</c:v>
                </c:pt>
                <c:pt idx="253">
                  <c:v>261456.84</c:v>
                </c:pt>
                <c:pt idx="254">
                  <c:v>43789.89</c:v>
                </c:pt>
                <c:pt idx="255">
                  <c:v>34757.71</c:v>
                </c:pt>
                <c:pt idx="256">
                  <c:v>43373.54</c:v>
                </c:pt>
                <c:pt idx="257">
                  <c:v>290918.71999999997</c:v>
                </c:pt>
                <c:pt idx="258">
                  <c:v>47845.02</c:v>
                </c:pt>
                <c:pt idx="259">
                  <c:v>86462</c:v>
                </c:pt>
                <c:pt idx="260">
                  <c:v>175530.12</c:v>
                </c:pt>
                <c:pt idx="261">
                  <c:v>103625.84</c:v>
                </c:pt>
                <c:pt idx="262">
                  <c:v>54990.9</c:v>
                </c:pt>
                <c:pt idx="263">
                  <c:v>363317.5</c:v>
                </c:pt>
                <c:pt idx="264">
                  <c:v>51679.6</c:v>
                </c:pt>
                <c:pt idx="265">
                  <c:v>100658</c:v>
                </c:pt>
                <c:pt idx="266">
                  <c:v>248328.55</c:v>
                </c:pt>
                <c:pt idx="267">
                  <c:v>96526.71</c:v>
                </c:pt>
                <c:pt idx="268">
                  <c:v>82021.25</c:v>
                </c:pt>
                <c:pt idx="269">
                  <c:v>97121.64</c:v>
                </c:pt>
                <c:pt idx="270">
                  <c:v>150268.72</c:v>
                </c:pt>
                <c:pt idx="271">
                  <c:v>236009.2</c:v>
                </c:pt>
                <c:pt idx="272">
                  <c:v>180858.3</c:v>
                </c:pt>
                <c:pt idx="273">
                  <c:v>378494.16</c:v>
                </c:pt>
                <c:pt idx="274">
                  <c:v>259787.34</c:v>
                </c:pt>
                <c:pt idx="275">
                  <c:v>96867.4</c:v>
                </c:pt>
                <c:pt idx="276">
                  <c:v>52698.94</c:v>
                </c:pt>
                <c:pt idx="277">
                  <c:v>186519.72</c:v>
                </c:pt>
                <c:pt idx="278">
                  <c:v>97209.96</c:v>
                </c:pt>
                <c:pt idx="279">
                  <c:v>85323.78</c:v>
                </c:pt>
                <c:pt idx="280">
                  <c:v>34861.199999999997</c:v>
                </c:pt>
                <c:pt idx="281">
                  <c:v>135764.76</c:v>
                </c:pt>
                <c:pt idx="282">
                  <c:v>185571.72</c:v>
                </c:pt>
                <c:pt idx="283">
                  <c:v>90068.24</c:v>
                </c:pt>
                <c:pt idx="284">
                  <c:v>81537</c:v>
                </c:pt>
                <c:pt idx="285">
                  <c:v>107665.89</c:v>
                </c:pt>
                <c:pt idx="286">
                  <c:v>214875.81</c:v>
                </c:pt>
                <c:pt idx="287">
                  <c:v>34200.58</c:v>
                </c:pt>
                <c:pt idx="288">
                  <c:v>106419.88</c:v>
                </c:pt>
                <c:pt idx="289">
                  <c:v>106181.75999999999</c:v>
                </c:pt>
                <c:pt idx="290">
                  <c:v>78828.600000000006</c:v>
                </c:pt>
                <c:pt idx="291">
                  <c:v>19210.3</c:v>
                </c:pt>
                <c:pt idx="292">
                  <c:v>25982</c:v>
                </c:pt>
                <c:pt idx="293">
                  <c:v>172829.92</c:v>
                </c:pt>
                <c:pt idx="294">
                  <c:v>199506.68</c:v>
                </c:pt>
                <c:pt idx="295">
                  <c:v>2599.12</c:v>
                </c:pt>
                <c:pt idx="296">
                  <c:v>26611.8</c:v>
                </c:pt>
                <c:pt idx="297">
                  <c:v>82132.92</c:v>
                </c:pt>
                <c:pt idx="298">
                  <c:v>171571.86</c:v>
                </c:pt>
                <c:pt idx="299">
                  <c:v>47545.65</c:v>
                </c:pt>
                <c:pt idx="300">
                  <c:v>7745.85</c:v>
                </c:pt>
                <c:pt idx="301">
                  <c:v>234450.42</c:v>
                </c:pt>
                <c:pt idx="302">
                  <c:v>49324.800000000003</c:v>
                </c:pt>
                <c:pt idx="303">
                  <c:v>203819.75</c:v>
                </c:pt>
                <c:pt idx="304">
                  <c:v>3727.43</c:v>
                </c:pt>
                <c:pt idx="305">
                  <c:v>187087.76</c:v>
                </c:pt>
                <c:pt idx="306">
                  <c:v>302455.37</c:v>
                </c:pt>
                <c:pt idx="307">
                  <c:v>17409.330000000002</c:v>
                </c:pt>
                <c:pt idx="308">
                  <c:v>123899.8</c:v>
                </c:pt>
                <c:pt idx="309">
                  <c:v>161107.04</c:v>
                </c:pt>
                <c:pt idx="310">
                  <c:v>138165.76000000001</c:v>
                </c:pt>
                <c:pt idx="311">
                  <c:v>49496.160000000003</c:v>
                </c:pt>
                <c:pt idx="312">
                  <c:v>343480.48</c:v>
                </c:pt>
                <c:pt idx="313">
                  <c:v>13776.48</c:v>
                </c:pt>
                <c:pt idx="314">
                  <c:v>129289.55</c:v>
                </c:pt>
                <c:pt idx="315">
                  <c:v>189276.52</c:v>
                </c:pt>
                <c:pt idx="316">
                  <c:v>43633.34</c:v>
                </c:pt>
                <c:pt idx="317">
                  <c:v>30227.94</c:v>
                </c:pt>
                <c:pt idx="318">
                  <c:v>199641.96</c:v>
                </c:pt>
                <c:pt idx="319">
                  <c:v>210037.8</c:v>
                </c:pt>
                <c:pt idx="320">
                  <c:v>162226.4</c:v>
                </c:pt>
                <c:pt idx="321">
                  <c:v>7741.12</c:v>
                </c:pt>
                <c:pt idx="322">
                  <c:v>113543.48</c:v>
                </c:pt>
                <c:pt idx="323">
                  <c:v>267104.88</c:v>
                </c:pt>
                <c:pt idx="324">
                  <c:v>1005.21</c:v>
                </c:pt>
                <c:pt idx="325">
                  <c:v>139501.79999999999</c:v>
                </c:pt>
                <c:pt idx="326">
                  <c:v>318554.40000000002</c:v>
                </c:pt>
                <c:pt idx="327">
                  <c:v>413892.18</c:v>
                </c:pt>
                <c:pt idx="328">
                  <c:v>134832.67000000001</c:v>
                </c:pt>
                <c:pt idx="329">
                  <c:v>177865.2</c:v>
                </c:pt>
                <c:pt idx="330">
                  <c:v>8988.44</c:v>
                </c:pt>
                <c:pt idx="331">
                  <c:v>167795.58</c:v>
                </c:pt>
                <c:pt idx="332">
                  <c:v>65068.15</c:v>
                </c:pt>
                <c:pt idx="333">
                  <c:v>63886.38</c:v>
                </c:pt>
                <c:pt idx="334">
                  <c:v>134115.70000000001</c:v>
                </c:pt>
                <c:pt idx="335">
                  <c:v>116373.8</c:v>
                </c:pt>
                <c:pt idx="336">
                  <c:v>192594.75</c:v>
                </c:pt>
                <c:pt idx="337">
                  <c:v>150743.16</c:v>
                </c:pt>
                <c:pt idx="338">
                  <c:v>425608.74</c:v>
                </c:pt>
                <c:pt idx="339">
                  <c:v>74620.36</c:v>
                </c:pt>
                <c:pt idx="340">
                  <c:v>137155.95000000001</c:v>
                </c:pt>
                <c:pt idx="341">
                  <c:v>215803.3</c:v>
                </c:pt>
                <c:pt idx="342">
                  <c:v>54661.599999999999</c:v>
                </c:pt>
                <c:pt idx="343">
                  <c:v>76444.38</c:v>
                </c:pt>
                <c:pt idx="344">
                  <c:v>109237.86</c:v>
                </c:pt>
                <c:pt idx="345">
                  <c:v>36943.51</c:v>
                </c:pt>
                <c:pt idx="346">
                  <c:v>67132.399999999994</c:v>
                </c:pt>
                <c:pt idx="347">
                  <c:v>64664.54</c:v>
                </c:pt>
                <c:pt idx="348">
                  <c:v>378037.6</c:v>
                </c:pt>
                <c:pt idx="349">
                  <c:v>127614.42</c:v>
                </c:pt>
                <c:pt idx="350">
                  <c:v>103361.36</c:v>
                </c:pt>
                <c:pt idx="351">
                  <c:v>8162.84</c:v>
                </c:pt>
                <c:pt idx="352">
                  <c:v>245061.25</c:v>
                </c:pt>
                <c:pt idx="353">
                  <c:v>97693.35</c:v>
                </c:pt>
                <c:pt idx="354">
                  <c:v>5053.68</c:v>
                </c:pt>
                <c:pt idx="355">
                  <c:v>86401.08</c:v>
                </c:pt>
                <c:pt idx="356">
                  <c:v>113857.04</c:v>
                </c:pt>
                <c:pt idx="357">
                  <c:v>203412.5</c:v>
                </c:pt>
                <c:pt idx="358">
                  <c:v>318362.73</c:v>
                </c:pt>
                <c:pt idx="359">
                  <c:v>256457.76</c:v>
                </c:pt>
                <c:pt idx="360">
                  <c:v>190106.9</c:v>
                </c:pt>
                <c:pt idx="361">
                  <c:v>156221.6</c:v>
                </c:pt>
                <c:pt idx="362">
                  <c:v>299131.56</c:v>
                </c:pt>
                <c:pt idx="363">
                  <c:v>44751.42</c:v>
                </c:pt>
                <c:pt idx="364">
                  <c:v>474935.9</c:v>
                </c:pt>
                <c:pt idx="365">
                  <c:v>368979.6</c:v>
                </c:pt>
                <c:pt idx="366">
                  <c:v>93084.36</c:v>
                </c:pt>
                <c:pt idx="367">
                  <c:v>97972.96</c:v>
                </c:pt>
                <c:pt idx="368">
                  <c:v>128393.8</c:v>
                </c:pt>
                <c:pt idx="369">
                  <c:v>6050.27</c:v>
                </c:pt>
                <c:pt idx="370">
                  <c:v>85037.6</c:v>
                </c:pt>
                <c:pt idx="371">
                  <c:v>91224.84</c:v>
                </c:pt>
                <c:pt idx="372">
                  <c:v>157813.84</c:v>
                </c:pt>
                <c:pt idx="373">
                  <c:v>56623.16</c:v>
                </c:pt>
                <c:pt idx="374">
                  <c:v>34541.879999999997</c:v>
                </c:pt>
                <c:pt idx="375">
                  <c:v>128637.6</c:v>
                </c:pt>
                <c:pt idx="376">
                  <c:v>105764.6</c:v>
                </c:pt>
                <c:pt idx="377">
                  <c:v>146990.9</c:v>
                </c:pt>
                <c:pt idx="378">
                  <c:v>78327.66</c:v>
                </c:pt>
                <c:pt idx="379">
                  <c:v>421025.22</c:v>
                </c:pt>
                <c:pt idx="380">
                  <c:v>239811.81</c:v>
                </c:pt>
                <c:pt idx="381">
                  <c:v>119390.88</c:v>
                </c:pt>
                <c:pt idx="382">
                  <c:v>78764.800000000003</c:v>
                </c:pt>
                <c:pt idx="383">
                  <c:v>349767.9</c:v>
                </c:pt>
                <c:pt idx="384">
                  <c:v>309378.71999999997</c:v>
                </c:pt>
                <c:pt idx="385">
                  <c:v>48695.59</c:v>
                </c:pt>
                <c:pt idx="386">
                  <c:v>376842.87</c:v>
                </c:pt>
                <c:pt idx="387">
                  <c:v>157078.85999999999</c:v>
                </c:pt>
                <c:pt idx="388">
                  <c:v>23398.57</c:v>
                </c:pt>
                <c:pt idx="389">
                  <c:v>122982.8</c:v>
                </c:pt>
                <c:pt idx="390">
                  <c:v>35804.49</c:v>
                </c:pt>
                <c:pt idx="391">
                  <c:v>108717.45</c:v>
                </c:pt>
                <c:pt idx="392">
                  <c:v>105715.35</c:v>
                </c:pt>
                <c:pt idx="393">
                  <c:v>242216.48</c:v>
                </c:pt>
                <c:pt idx="394">
                  <c:v>165058.23999999999</c:v>
                </c:pt>
                <c:pt idx="395">
                  <c:v>58809.5</c:v>
                </c:pt>
                <c:pt idx="396">
                  <c:v>439266.33</c:v>
                </c:pt>
                <c:pt idx="397">
                  <c:v>7583.96</c:v>
                </c:pt>
                <c:pt idx="398">
                  <c:v>78808.86</c:v>
                </c:pt>
                <c:pt idx="399">
                  <c:v>3586.58</c:v>
                </c:pt>
                <c:pt idx="400">
                  <c:v>91115.3</c:v>
                </c:pt>
                <c:pt idx="401">
                  <c:v>306956.37</c:v>
                </c:pt>
                <c:pt idx="402">
                  <c:v>15617.29</c:v>
                </c:pt>
                <c:pt idx="403">
                  <c:v>72124.72</c:v>
                </c:pt>
                <c:pt idx="404">
                  <c:v>48389.919999999998</c:v>
                </c:pt>
                <c:pt idx="405">
                  <c:v>138761.82</c:v>
                </c:pt>
                <c:pt idx="406">
                  <c:v>22534.47</c:v>
                </c:pt>
                <c:pt idx="407">
                  <c:v>115016.4</c:v>
                </c:pt>
                <c:pt idx="408">
                  <c:v>33098.300000000003</c:v>
                </c:pt>
                <c:pt idx="409">
                  <c:v>28924.68</c:v>
                </c:pt>
                <c:pt idx="410">
                  <c:v>144413.9</c:v>
                </c:pt>
                <c:pt idx="411">
                  <c:v>158544.6</c:v>
                </c:pt>
                <c:pt idx="412">
                  <c:v>66336</c:v>
                </c:pt>
                <c:pt idx="413">
                  <c:v>190335.12</c:v>
                </c:pt>
                <c:pt idx="414">
                  <c:v>74970.27</c:v>
                </c:pt>
                <c:pt idx="415">
                  <c:v>160299.54</c:v>
                </c:pt>
                <c:pt idx="416">
                  <c:v>230511.44</c:v>
                </c:pt>
                <c:pt idx="417">
                  <c:v>4418.8599999999997</c:v>
                </c:pt>
                <c:pt idx="418">
                  <c:v>1144.78</c:v>
                </c:pt>
                <c:pt idx="419">
                  <c:v>132611.45000000001</c:v>
                </c:pt>
                <c:pt idx="420">
                  <c:v>51751.06</c:v>
                </c:pt>
                <c:pt idx="421">
                  <c:v>334585.34999999998</c:v>
                </c:pt>
                <c:pt idx="422">
                  <c:v>3156.7</c:v>
                </c:pt>
                <c:pt idx="423">
                  <c:v>30640.69</c:v>
                </c:pt>
                <c:pt idx="424">
                  <c:v>187463.04000000001</c:v>
                </c:pt>
                <c:pt idx="425">
                  <c:v>87892.59</c:v>
                </c:pt>
                <c:pt idx="426">
                  <c:v>203569.62</c:v>
                </c:pt>
                <c:pt idx="427">
                  <c:v>83144.7</c:v>
                </c:pt>
                <c:pt idx="428">
                  <c:v>268238.34000000003</c:v>
                </c:pt>
                <c:pt idx="429">
                  <c:v>110511.99</c:v>
                </c:pt>
                <c:pt idx="430">
                  <c:v>30364.5</c:v>
                </c:pt>
                <c:pt idx="431">
                  <c:v>84855.86</c:v>
                </c:pt>
                <c:pt idx="432">
                  <c:v>439972.2</c:v>
                </c:pt>
                <c:pt idx="433">
                  <c:v>28812.06</c:v>
                </c:pt>
                <c:pt idx="434">
                  <c:v>1229.02</c:v>
                </c:pt>
                <c:pt idx="435">
                  <c:v>88586.31</c:v>
                </c:pt>
                <c:pt idx="436">
                  <c:v>223776.99</c:v>
                </c:pt>
                <c:pt idx="437">
                  <c:v>93549.04</c:v>
                </c:pt>
                <c:pt idx="438">
                  <c:v>11976.34</c:v>
                </c:pt>
                <c:pt idx="439">
                  <c:v>3839.04</c:v>
                </c:pt>
                <c:pt idx="440">
                  <c:v>15733.65</c:v>
                </c:pt>
                <c:pt idx="441">
                  <c:v>236398.82</c:v>
                </c:pt>
                <c:pt idx="442">
                  <c:v>85028.43</c:v>
                </c:pt>
                <c:pt idx="443">
                  <c:v>242289.7</c:v>
                </c:pt>
                <c:pt idx="444">
                  <c:v>82193.5</c:v>
                </c:pt>
                <c:pt idx="445">
                  <c:v>174736.89</c:v>
                </c:pt>
                <c:pt idx="446">
                  <c:v>34616.519999999997</c:v>
                </c:pt>
                <c:pt idx="447">
                  <c:v>131685.75</c:v>
                </c:pt>
                <c:pt idx="448">
                  <c:v>439469.6</c:v>
                </c:pt>
                <c:pt idx="449">
                  <c:v>244608</c:v>
                </c:pt>
                <c:pt idx="450">
                  <c:v>226028.39</c:v>
                </c:pt>
                <c:pt idx="451">
                  <c:v>36307.74</c:v>
                </c:pt>
                <c:pt idx="452">
                  <c:v>5815.69</c:v>
                </c:pt>
                <c:pt idx="453">
                  <c:v>47927.360000000001</c:v>
                </c:pt>
                <c:pt idx="454">
                  <c:v>246529.68</c:v>
                </c:pt>
                <c:pt idx="455">
                  <c:v>91618.18</c:v>
                </c:pt>
                <c:pt idx="456">
                  <c:v>71273.3</c:v>
                </c:pt>
                <c:pt idx="457">
                  <c:v>372913.47</c:v>
                </c:pt>
                <c:pt idx="458">
                  <c:v>144969.64000000001</c:v>
                </c:pt>
                <c:pt idx="459">
                  <c:v>139084.79999999999</c:v>
                </c:pt>
                <c:pt idx="460">
                  <c:v>9009.36</c:v>
                </c:pt>
                <c:pt idx="461">
                  <c:v>216126.48</c:v>
                </c:pt>
                <c:pt idx="462">
                  <c:v>440456.6</c:v>
                </c:pt>
                <c:pt idx="463">
                  <c:v>124790.55</c:v>
                </c:pt>
                <c:pt idx="464">
                  <c:v>189183.33</c:v>
                </c:pt>
                <c:pt idx="465">
                  <c:v>170899.98</c:v>
                </c:pt>
                <c:pt idx="466">
                  <c:v>176483.04</c:v>
                </c:pt>
                <c:pt idx="467">
                  <c:v>153670.14000000001</c:v>
                </c:pt>
                <c:pt idx="468">
                  <c:v>42816.6</c:v>
                </c:pt>
                <c:pt idx="469">
                  <c:v>135856.56</c:v>
                </c:pt>
                <c:pt idx="470">
                  <c:v>324318.12</c:v>
                </c:pt>
                <c:pt idx="471">
                  <c:v>275300.2</c:v>
                </c:pt>
                <c:pt idx="472">
                  <c:v>48583.48</c:v>
                </c:pt>
                <c:pt idx="473">
                  <c:v>66288.95</c:v>
                </c:pt>
                <c:pt idx="474">
                  <c:v>163606.70000000001</c:v>
                </c:pt>
                <c:pt idx="475">
                  <c:v>242884.38</c:v>
                </c:pt>
                <c:pt idx="476">
                  <c:v>1495.14</c:v>
                </c:pt>
                <c:pt idx="477">
                  <c:v>70840.92</c:v>
                </c:pt>
                <c:pt idx="478">
                  <c:v>311660.71999999997</c:v>
                </c:pt>
                <c:pt idx="479">
                  <c:v>8286.5400000000009</c:v>
                </c:pt>
                <c:pt idx="480">
                  <c:v>67601.66</c:v>
                </c:pt>
                <c:pt idx="481">
                  <c:v>16453.599999999999</c:v>
                </c:pt>
                <c:pt idx="482">
                  <c:v>242974.8</c:v>
                </c:pt>
                <c:pt idx="483">
                  <c:v>45338.400000000001</c:v>
                </c:pt>
                <c:pt idx="484">
                  <c:v>278427.28000000003</c:v>
                </c:pt>
                <c:pt idx="485">
                  <c:v>82110.87</c:v>
                </c:pt>
                <c:pt idx="486">
                  <c:v>39406.86</c:v>
                </c:pt>
                <c:pt idx="487">
                  <c:v>249899.04</c:v>
                </c:pt>
                <c:pt idx="488">
                  <c:v>167677.65</c:v>
                </c:pt>
                <c:pt idx="489">
                  <c:v>432103.32</c:v>
                </c:pt>
                <c:pt idx="490">
                  <c:v>189759.6</c:v>
                </c:pt>
                <c:pt idx="491">
                  <c:v>111006.18</c:v>
                </c:pt>
                <c:pt idx="492">
                  <c:v>100147.38</c:v>
                </c:pt>
                <c:pt idx="493">
                  <c:v>81607.25</c:v>
                </c:pt>
                <c:pt idx="494">
                  <c:v>767.61</c:v>
                </c:pt>
                <c:pt idx="495">
                  <c:v>150898.88</c:v>
                </c:pt>
                <c:pt idx="496">
                  <c:v>95386.66</c:v>
                </c:pt>
                <c:pt idx="497">
                  <c:v>99704.97</c:v>
                </c:pt>
                <c:pt idx="498">
                  <c:v>65413.26</c:v>
                </c:pt>
                <c:pt idx="499">
                  <c:v>107028.9</c:v>
                </c:pt>
                <c:pt idx="500">
                  <c:v>26647.599999999999</c:v>
                </c:pt>
                <c:pt idx="501">
                  <c:v>110260.04</c:v>
                </c:pt>
                <c:pt idx="502">
                  <c:v>40225.629999999997</c:v>
                </c:pt>
                <c:pt idx="503">
                  <c:v>12494.97</c:v>
                </c:pt>
                <c:pt idx="504">
                  <c:v>121322.16</c:v>
                </c:pt>
                <c:pt idx="505">
                  <c:v>253864</c:v>
                </c:pt>
                <c:pt idx="506">
                  <c:v>23973.18</c:v>
                </c:pt>
                <c:pt idx="507">
                  <c:v>376981.83</c:v>
                </c:pt>
                <c:pt idx="508">
                  <c:v>70625.7</c:v>
                </c:pt>
                <c:pt idx="509">
                  <c:v>80289.8</c:v>
                </c:pt>
                <c:pt idx="510">
                  <c:v>348147.24</c:v>
                </c:pt>
                <c:pt idx="511">
                  <c:v>101845.28</c:v>
                </c:pt>
                <c:pt idx="512">
                  <c:v>30210.720000000001</c:v>
                </c:pt>
                <c:pt idx="513">
                  <c:v>252904.44</c:v>
                </c:pt>
                <c:pt idx="514">
                  <c:v>16249.69</c:v>
                </c:pt>
                <c:pt idx="515">
                  <c:v>98418.06</c:v>
                </c:pt>
                <c:pt idx="516">
                  <c:v>139534.07999999999</c:v>
                </c:pt>
                <c:pt idx="517">
                  <c:v>146639.60999999999</c:v>
                </c:pt>
                <c:pt idx="518">
                  <c:v>64916.12</c:v>
                </c:pt>
                <c:pt idx="519">
                  <c:v>288940.95</c:v>
                </c:pt>
                <c:pt idx="520">
                  <c:v>105954.6</c:v>
                </c:pt>
                <c:pt idx="521">
                  <c:v>47870.04</c:v>
                </c:pt>
                <c:pt idx="522">
                  <c:v>47848</c:v>
                </c:pt>
                <c:pt idx="523">
                  <c:v>5263.79</c:v>
                </c:pt>
                <c:pt idx="524">
                  <c:v>45333.96</c:v>
                </c:pt>
                <c:pt idx="525">
                  <c:v>97801.84</c:v>
                </c:pt>
                <c:pt idx="526">
                  <c:v>124324.34</c:v>
                </c:pt>
                <c:pt idx="527">
                  <c:v>48906.12</c:v>
                </c:pt>
                <c:pt idx="528">
                  <c:v>112630.77</c:v>
                </c:pt>
                <c:pt idx="529">
                  <c:v>40250.629999999997</c:v>
                </c:pt>
                <c:pt idx="530">
                  <c:v>144095.70000000001</c:v>
                </c:pt>
                <c:pt idx="531">
                  <c:v>362370.56</c:v>
                </c:pt>
                <c:pt idx="532">
                  <c:v>125182.65</c:v>
                </c:pt>
                <c:pt idx="533">
                  <c:v>107330.05</c:v>
                </c:pt>
                <c:pt idx="534">
                  <c:v>57013.62</c:v>
                </c:pt>
                <c:pt idx="535">
                  <c:v>184192.74</c:v>
                </c:pt>
                <c:pt idx="536">
                  <c:v>19382.82</c:v>
                </c:pt>
                <c:pt idx="537">
                  <c:v>81639.899999999994</c:v>
                </c:pt>
                <c:pt idx="538">
                  <c:v>54878.34</c:v>
                </c:pt>
                <c:pt idx="539">
                  <c:v>240883.83</c:v>
                </c:pt>
                <c:pt idx="540">
                  <c:v>48215.86</c:v>
                </c:pt>
                <c:pt idx="541">
                  <c:v>299334.78000000003</c:v>
                </c:pt>
                <c:pt idx="542">
                  <c:v>156203.51999999999</c:v>
                </c:pt>
                <c:pt idx="543">
                  <c:v>14634.25</c:v>
                </c:pt>
                <c:pt idx="544">
                  <c:v>231048.23</c:v>
                </c:pt>
                <c:pt idx="545">
                  <c:v>419975.28</c:v>
                </c:pt>
                <c:pt idx="546">
                  <c:v>32636.43</c:v>
                </c:pt>
                <c:pt idx="547">
                  <c:v>105473.12</c:v>
                </c:pt>
                <c:pt idx="548">
                  <c:v>207547.7</c:v>
                </c:pt>
                <c:pt idx="549">
                  <c:v>54089.48</c:v>
                </c:pt>
                <c:pt idx="550">
                  <c:v>70227.960000000006</c:v>
                </c:pt>
                <c:pt idx="551">
                  <c:v>190160.1</c:v>
                </c:pt>
                <c:pt idx="552">
                  <c:v>338531.22</c:v>
                </c:pt>
                <c:pt idx="553">
                  <c:v>74022.240000000005</c:v>
                </c:pt>
                <c:pt idx="554">
                  <c:v>126104.76</c:v>
                </c:pt>
                <c:pt idx="555">
                  <c:v>9639.44</c:v>
                </c:pt>
                <c:pt idx="556">
                  <c:v>254734.06</c:v>
                </c:pt>
                <c:pt idx="557">
                  <c:v>34604.6</c:v>
                </c:pt>
                <c:pt idx="558">
                  <c:v>66134.2</c:v>
                </c:pt>
                <c:pt idx="559">
                  <c:v>141401.85</c:v>
                </c:pt>
                <c:pt idx="560">
                  <c:v>6150.86</c:v>
                </c:pt>
                <c:pt idx="561">
                  <c:v>107697.64</c:v>
                </c:pt>
                <c:pt idx="562">
                  <c:v>18903.96</c:v>
                </c:pt>
                <c:pt idx="563">
                  <c:v>396906.8</c:v>
                </c:pt>
                <c:pt idx="564">
                  <c:v>217967.64</c:v>
                </c:pt>
                <c:pt idx="565">
                  <c:v>215478.9</c:v>
                </c:pt>
                <c:pt idx="566">
                  <c:v>261998.07999999999</c:v>
                </c:pt>
                <c:pt idx="567">
                  <c:v>432513</c:v>
                </c:pt>
                <c:pt idx="568">
                  <c:v>143245.35</c:v>
                </c:pt>
                <c:pt idx="569">
                  <c:v>65107.76</c:v>
                </c:pt>
                <c:pt idx="570">
                  <c:v>100104.3</c:v>
                </c:pt>
                <c:pt idx="571">
                  <c:v>78010.539999999994</c:v>
                </c:pt>
                <c:pt idx="572">
                  <c:v>98080.92</c:v>
                </c:pt>
                <c:pt idx="573">
                  <c:v>15439.6</c:v>
                </c:pt>
                <c:pt idx="574">
                  <c:v>294353.64</c:v>
                </c:pt>
                <c:pt idx="575">
                  <c:v>2892.4</c:v>
                </c:pt>
                <c:pt idx="576">
                  <c:v>107775.6</c:v>
                </c:pt>
                <c:pt idx="577">
                  <c:v>186072.9</c:v>
                </c:pt>
                <c:pt idx="578">
                  <c:v>211945.9</c:v>
                </c:pt>
                <c:pt idx="579">
                  <c:v>359775.2</c:v>
                </c:pt>
                <c:pt idx="580">
                  <c:v>104186</c:v>
                </c:pt>
                <c:pt idx="581">
                  <c:v>130702.11</c:v>
                </c:pt>
                <c:pt idx="582">
                  <c:v>97826.15</c:v>
                </c:pt>
                <c:pt idx="583">
                  <c:v>38212.75</c:v>
                </c:pt>
                <c:pt idx="584">
                  <c:v>154420</c:v>
                </c:pt>
                <c:pt idx="585">
                  <c:v>40148.6</c:v>
                </c:pt>
                <c:pt idx="586">
                  <c:v>10884.12</c:v>
                </c:pt>
                <c:pt idx="587">
                  <c:v>228955.74</c:v>
                </c:pt>
                <c:pt idx="588">
                  <c:v>18229</c:v>
                </c:pt>
                <c:pt idx="589">
                  <c:v>29313.46</c:v>
                </c:pt>
                <c:pt idx="590">
                  <c:v>3859.08</c:v>
                </c:pt>
                <c:pt idx="591">
                  <c:v>23787.599999999999</c:v>
                </c:pt>
                <c:pt idx="592">
                  <c:v>23934.94</c:v>
                </c:pt>
                <c:pt idx="593">
                  <c:v>141646.92000000001</c:v>
                </c:pt>
                <c:pt idx="594">
                  <c:v>15515.24</c:v>
                </c:pt>
                <c:pt idx="595">
                  <c:v>6280.83</c:v>
                </c:pt>
                <c:pt idx="596">
                  <c:v>208572.3</c:v>
                </c:pt>
                <c:pt idx="597">
                  <c:v>28766.560000000001</c:v>
                </c:pt>
                <c:pt idx="598">
                  <c:v>141013.88</c:v>
                </c:pt>
                <c:pt idx="599">
                  <c:v>153103.75</c:v>
                </c:pt>
                <c:pt idx="600">
                  <c:v>350597.34</c:v>
                </c:pt>
                <c:pt idx="601">
                  <c:v>15069.36</c:v>
                </c:pt>
                <c:pt idx="602">
                  <c:v>23158</c:v>
                </c:pt>
                <c:pt idx="603">
                  <c:v>370228.72</c:v>
                </c:pt>
                <c:pt idx="604">
                  <c:v>29540.26</c:v>
                </c:pt>
                <c:pt idx="605">
                  <c:v>270574.5</c:v>
                </c:pt>
                <c:pt idx="606">
                  <c:v>83149.52</c:v>
                </c:pt>
                <c:pt idx="607">
                  <c:v>155811.12</c:v>
                </c:pt>
                <c:pt idx="608">
                  <c:v>17070.849999999999</c:v>
                </c:pt>
                <c:pt idx="609">
                  <c:v>35903.14</c:v>
                </c:pt>
                <c:pt idx="610">
                  <c:v>47539.35</c:v>
                </c:pt>
                <c:pt idx="611">
                  <c:v>109792.04</c:v>
                </c:pt>
                <c:pt idx="612">
                  <c:v>22073.4</c:v>
                </c:pt>
                <c:pt idx="613">
                  <c:v>359892.18</c:v>
                </c:pt>
                <c:pt idx="614">
                  <c:v>69239.88</c:v>
                </c:pt>
                <c:pt idx="615">
                  <c:v>126402.03</c:v>
                </c:pt>
                <c:pt idx="616">
                  <c:v>87386.72</c:v>
                </c:pt>
                <c:pt idx="617">
                  <c:v>28362.94</c:v>
                </c:pt>
                <c:pt idx="618">
                  <c:v>115132.52</c:v>
                </c:pt>
                <c:pt idx="619">
                  <c:v>64865.3</c:v>
                </c:pt>
                <c:pt idx="620">
                  <c:v>119906.32</c:v>
                </c:pt>
                <c:pt idx="621">
                  <c:v>266207.48</c:v>
                </c:pt>
                <c:pt idx="622">
                  <c:v>482551.9</c:v>
                </c:pt>
                <c:pt idx="623">
                  <c:v>251740.53</c:v>
                </c:pt>
                <c:pt idx="624">
                  <c:v>420808.14</c:v>
                </c:pt>
                <c:pt idx="625">
                  <c:v>142398.54</c:v>
                </c:pt>
                <c:pt idx="626">
                  <c:v>33193.9</c:v>
                </c:pt>
                <c:pt idx="627">
                  <c:v>46021.88</c:v>
                </c:pt>
                <c:pt idx="628">
                  <c:v>318588.55</c:v>
                </c:pt>
                <c:pt idx="629">
                  <c:v>422321.22</c:v>
                </c:pt>
                <c:pt idx="630">
                  <c:v>112029.57</c:v>
                </c:pt>
                <c:pt idx="631">
                  <c:v>141759.6</c:v>
                </c:pt>
                <c:pt idx="632">
                  <c:v>58079.12</c:v>
                </c:pt>
                <c:pt idx="633">
                  <c:v>771.84</c:v>
                </c:pt>
                <c:pt idx="634">
                  <c:v>97167.28</c:v>
                </c:pt>
                <c:pt idx="635">
                  <c:v>51838.36</c:v>
                </c:pt>
                <c:pt idx="636">
                  <c:v>97529.68</c:v>
                </c:pt>
                <c:pt idx="637">
                  <c:v>3971.35</c:v>
                </c:pt>
                <c:pt idx="638">
                  <c:v>38696.65</c:v>
                </c:pt>
                <c:pt idx="639">
                  <c:v>34302.92</c:v>
                </c:pt>
                <c:pt idx="640">
                  <c:v>20626.25</c:v>
                </c:pt>
                <c:pt idx="641">
                  <c:v>355910.49</c:v>
                </c:pt>
                <c:pt idx="642">
                  <c:v>70470.990000000005</c:v>
                </c:pt>
                <c:pt idx="643">
                  <c:v>134060.64000000001</c:v>
                </c:pt>
                <c:pt idx="644">
                  <c:v>81396.850000000006</c:v>
                </c:pt>
                <c:pt idx="645">
                  <c:v>106265.28</c:v>
                </c:pt>
                <c:pt idx="646">
                  <c:v>11206.86</c:v>
                </c:pt>
                <c:pt idx="647">
                  <c:v>221067.8</c:v>
                </c:pt>
                <c:pt idx="648">
                  <c:v>22401.119999999999</c:v>
                </c:pt>
                <c:pt idx="649">
                  <c:v>192834.67</c:v>
                </c:pt>
                <c:pt idx="650">
                  <c:v>229527.7</c:v>
                </c:pt>
                <c:pt idx="651">
                  <c:v>211333.38</c:v>
                </c:pt>
                <c:pt idx="652">
                  <c:v>129925.28</c:v>
                </c:pt>
                <c:pt idx="653">
                  <c:v>12255.87</c:v>
                </c:pt>
                <c:pt idx="654">
                  <c:v>300593.15999999997</c:v>
                </c:pt>
                <c:pt idx="655">
                  <c:v>103074.8</c:v>
                </c:pt>
                <c:pt idx="656">
                  <c:v>462701.3</c:v>
                </c:pt>
                <c:pt idx="657">
                  <c:v>167620.15</c:v>
                </c:pt>
                <c:pt idx="658">
                  <c:v>76131.679999999993</c:v>
                </c:pt>
                <c:pt idx="659">
                  <c:v>84656.2</c:v>
                </c:pt>
                <c:pt idx="660">
                  <c:v>14491.62</c:v>
                </c:pt>
                <c:pt idx="661">
                  <c:v>175604.15</c:v>
                </c:pt>
                <c:pt idx="662">
                  <c:v>184654.44</c:v>
                </c:pt>
                <c:pt idx="663">
                  <c:v>191186.12</c:v>
                </c:pt>
                <c:pt idx="664">
                  <c:v>270087.15999999997</c:v>
                </c:pt>
                <c:pt idx="665">
                  <c:v>230210.46</c:v>
                </c:pt>
                <c:pt idx="666">
                  <c:v>193199.4</c:v>
                </c:pt>
                <c:pt idx="667">
                  <c:v>62003.61</c:v>
                </c:pt>
                <c:pt idx="668">
                  <c:v>412680.6</c:v>
                </c:pt>
                <c:pt idx="669">
                  <c:v>140328.85</c:v>
                </c:pt>
                <c:pt idx="670">
                  <c:v>202154</c:v>
                </c:pt>
                <c:pt idx="671">
                  <c:v>63231.28</c:v>
                </c:pt>
                <c:pt idx="672">
                  <c:v>17212.990000000002</c:v>
                </c:pt>
                <c:pt idx="673">
                  <c:v>14756.18</c:v>
                </c:pt>
                <c:pt idx="674">
                  <c:v>108470.6</c:v>
                </c:pt>
                <c:pt idx="675">
                  <c:v>45063.040000000001</c:v>
                </c:pt>
                <c:pt idx="676">
                  <c:v>84805.75</c:v>
                </c:pt>
                <c:pt idx="677">
                  <c:v>52501.23</c:v>
                </c:pt>
                <c:pt idx="678">
                  <c:v>237005.1</c:v>
                </c:pt>
                <c:pt idx="679">
                  <c:v>85364.44</c:v>
                </c:pt>
                <c:pt idx="680">
                  <c:v>392423.76</c:v>
                </c:pt>
                <c:pt idx="681">
                  <c:v>90746.36</c:v>
                </c:pt>
                <c:pt idx="682">
                  <c:v>172543</c:v>
                </c:pt>
                <c:pt idx="683">
                  <c:v>151195.45000000001</c:v>
                </c:pt>
                <c:pt idx="684">
                  <c:v>120078.24</c:v>
                </c:pt>
                <c:pt idx="685">
                  <c:v>121791.05</c:v>
                </c:pt>
                <c:pt idx="686">
                  <c:v>99838.56</c:v>
                </c:pt>
                <c:pt idx="687">
                  <c:v>144829.17000000001</c:v>
                </c:pt>
                <c:pt idx="688">
                  <c:v>360621.09</c:v>
                </c:pt>
                <c:pt idx="689">
                  <c:v>287434.34999999998</c:v>
                </c:pt>
                <c:pt idx="690">
                  <c:v>285282.83</c:v>
                </c:pt>
                <c:pt idx="691">
                  <c:v>458774.9</c:v>
                </c:pt>
                <c:pt idx="692">
                  <c:v>104971.05</c:v>
                </c:pt>
                <c:pt idx="693">
                  <c:v>6430.22</c:v>
                </c:pt>
                <c:pt idx="694">
                  <c:v>107745.36</c:v>
                </c:pt>
                <c:pt idx="695">
                  <c:v>265230.90000000002</c:v>
                </c:pt>
                <c:pt idx="696">
                  <c:v>124305.24</c:v>
                </c:pt>
                <c:pt idx="697">
                  <c:v>175457.4</c:v>
                </c:pt>
                <c:pt idx="698">
                  <c:v>106274.97</c:v>
                </c:pt>
                <c:pt idx="699">
                  <c:v>76256.639999999999</c:v>
                </c:pt>
                <c:pt idx="700">
                  <c:v>254006.73</c:v>
                </c:pt>
                <c:pt idx="701">
                  <c:v>130323.36</c:v>
                </c:pt>
                <c:pt idx="702">
                  <c:v>13705.83</c:v>
                </c:pt>
                <c:pt idx="703">
                  <c:v>34477.47</c:v>
                </c:pt>
                <c:pt idx="704">
                  <c:v>69756.240000000005</c:v>
                </c:pt>
                <c:pt idx="705">
                  <c:v>285180.93</c:v>
                </c:pt>
                <c:pt idx="706">
                  <c:v>74556.42</c:v>
                </c:pt>
                <c:pt idx="707">
                  <c:v>76084.800000000003</c:v>
                </c:pt>
                <c:pt idx="708">
                  <c:v>70818.679999999993</c:v>
                </c:pt>
                <c:pt idx="709">
                  <c:v>113673.3</c:v>
                </c:pt>
                <c:pt idx="710">
                  <c:v>217666.56</c:v>
                </c:pt>
                <c:pt idx="711">
                  <c:v>167313.48000000001</c:v>
                </c:pt>
                <c:pt idx="712">
                  <c:v>470798.6</c:v>
                </c:pt>
                <c:pt idx="713">
                  <c:v>60403.62</c:v>
                </c:pt>
                <c:pt idx="714">
                  <c:v>197341.68</c:v>
                </c:pt>
                <c:pt idx="715">
                  <c:v>39342.980000000003</c:v>
                </c:pt>
                <c:pt idx="716">
                  <c:v>210571.1</c:v>
                </c:pt>
                <c:pt idx="717">
                  <c:v>75059.95</c:v>
                </c:pt>
                <c:pt idx="718">
                  <c:v>170570.36</c:v>
                </c:pt>
                <c:pt idx="719">
                  <c:v>163012.74</c:v>
                </c:pt>
                <c:pt idx="720">
                  <c:v>220973.34</c:v>
                </c:pt>
                <c:pt idx="721">
                  <c:v>444016.4</c:v>
                </c:pt>
                <c:pt idx="722">
                  <c:v>10934.02</c:v>
                </c:pt>
                <c:pt idx="723">
                  <c:v>284448.64000000001</c:v>
                </c:pt>
                <c:pt idx="724">
                  <c:v>188413.61</c:v>
                </c:pt>
                <c:pt idx="725">
                  <c:v>122047.5</c:v>
                </c:pt>
                <c:pt idx="726">
                  <c:v>196003.1</c:v>
                </c:pt>
                <c:pt idx="727">
                  <c:v>120358.95</c:v>
                </c:pt>
                <c:pt idx="728">
                  <c:v>165937.79999999999</c:v>
                </c:pt>
                <c:pt idx="729">
                  <c:v>80421.119999999995</c:v>
                </c:pt>
                <c:pt idx="730">
                  <c:v>19202.88</c:v>
                </c:pt>
                <c:pt idx="731">
                  <c:v>162512.76</c:v>
                </c:pt>
                <c:pt idx="732">
                  <c:v>73387.62</c:v>
                </c:pt>
                <c:pt idx="733">
                  <c:v>152156.34</c:v>
                </c:pt>
                <c:pt idx="734">
                  <c:v>115263.96</c:v>
                </c:pt>
                <c:pt idx="735">
                  <c:v>2070.65</c:v>
                </c:pt>
                <c:pt idx="736">
                  <c:v>58568.76</c:v>
                </c:pt>
                <c:pt idx="737">
                  <c:v>77138.399999999994</c:v>
                </c:pt>
                <c:pt idx="738">
                  <c:v>84392.92</c:v>
                </c:pt>
                <c:pt idx="739">
                  <c:v>3753.78</c:v>
                </c:pt>
                <c:pt idx="740">
                  <c:v>63588.21</c:v>
                </c:pt>
                <c:pt idx="741">
                  <c:v>137878.74</c:v>
                </c:pt>
                <c:pt idx="742">
                  <c:v>69539.12</c:v>
                </c:pt>
                <c:pt idx="743">
                  <c:v>319922.96000000002</c:v>
                </c:pt>
                <c:pt idx="744">
                  <c:v>123894.12</c:v>
                </c:pt>
                <c:pt idx="745">
                  <c:v>245737.05</c:v>
                </c:pt>
                <c:pt idx="746">
                  <c:v>175335.5</c:v>
                </c:pt>
                <c:pt idx="747">
                  <c:v>92286.1</c:v>
                </c:pt>
                <c:pt idx="748">
                  <c:v>438080.6</c:v>
                </c:pt>
                <c:pt idx="749">
                  <c:v>146255.57999999999</c:v>
                </c:pt>
                <c:pt idx="750">
                  <c:v>139876.07999999999</c:v>
                </c:pt>
                <c:pt idx="751">
                  <c:v>17299.04</c:v>
                </c:pt>
                <c:pt idx="752">
                  <c:v>51372.25</c:v>
                </c:pt>
                <c:pt idx="753">
                  <c:v>242701.7</c:v>
                </c:pt>
                <c:pt idx="754">
                  <c:v>20669.3</c:v>
                </c:pt>
                <c:pt idx="755">
                  <c:v>133044.70000000001</c:v>
                </c:pt>
                <c:pt idx="756">
                  <c:v>47212.5</c:v>
                </c:pt>
                <c:pt idx="757">
                  <c:v>256986.2</c:v>
                </c:pt>
                <c:pt idx="758">
                  <c:v>257759.6</c:v>
                </c:pt>
                <c:pt idx="759">
                  <c:v>29862.400000000001</c:v>
                </c:pt>
                <c:pt idx="760">
                  <c:v>163132.56</c:v>
                </c:pt>
                <c:pt idx="761">
                  <c:v>89124.800000000003</c:v>
                </c:pt>
                <c:pt idx="762">
                  <c:v>492174.1</c:v>
                </c:pt>
                <c:pt idx="763">
                  <c:v>73262.460000000006</c:v>
                </c:pt>
                <c:pt idx="764">
                  <c:v>16650.75</c:v>
                </c:pt>
                <c:pt idx="765">
                  <c:v>12225.22</c:v>
                </c:pt>
                <c:pt idx="766">
                  <c:v>198199.5</c:v>
                </c:pt>
                <c:pt idx="767">
                  <c:v>42736.43</c:v>
                </c:pt>
                <c:pt idx="768">
                  <c:v>72852.100000000006</c:v>
                </c:pt>
                <c:pt idx="769">
                  <c:v>12121.61</c:v>
                </c:pt>
                <c:pt idx="770">
                  <c:v>59121.8</c:v>
                </c:pt>
                <c:pt idx="771">
                  <c:v>3953.8</c:v>
                </c:pt>
                <c:pt idx="772">
                  <c:v>92846.81</c:v>
                </c:pt>
                <c:pt idx="773">
                  <c:v>210141.3</c:v>
                </c:pt>
                <c:pt idx="774">
                  <c:v>86309</c:v>
                </c:pt>
                <c:pt idx="775">
                  <c:v>178545.48</c:v>
                </c:pt>
                <c:pt idx="776">
                  <c:v>91076.4</c:v>
                </c:pt>
                <c:pt idx="777">
                  <c:v>116728.5</c:v>
                </c:pt>
                <c:pt idx="778">
                  <c:v>64307.519999999997</c:v>
                </c:pt>
                <c:pt idx="779">
                  <c:v>47618.43</c:v>
                </c:pt>
                <c:pt idx="780">
                  <c:v>100442.24000000001</c:v>
                </c:pt>
                <c:pt idx="781">
                  <c:v>7179.39</c:v>
                </c:pt>
                <c:pt idx="782">
                  <c:v>75706.23</c:v>
                </c:pt>
                <c:pt idx="783">
                  <c:v>347736</c:v>
                </c:pt>
                <c:pt idx="784">
                  <c:v>321222.51</c:v>
                </c:pt>
                <c:pt idx="785">
                  <c:v>168646.62</c:v>
                </c:pt>
                <c:pt idx="786">
                  <c:v>237972.6</c:v>
                </c:pt>
                <c:pt idx="787">
                  <c:v>72667</c:v>
                </c:pt>
                <c:pt idx="788">
                  <c:v>110900.34</c:v>
                </c:pt>
                <c:pt idx="789">
                  <c:v>181783.2</c:v>
                </c:pt>
                <c:pt idx="790">
                  <c:v>56546.37</c:v>
                </c:pt>
                <c:pt idx="791">
                  <c:v>161565.20000000001</c:v>
                </c:pt>
                <c:pt idx="792">
                  <c:v>117472.56</c:v>
                </c:pt>
                <c:pt idx="793">
                  <c:v>61673.9</c:v>
                </c:pt>
                <c:pt idx="794">
                  <c:v>347158.53</c:v>
                </c:pt>
                <c:pt idx="795">
                  <c:v>113054.04</c:v>
                </c:pt>
                <c:pt idx="796">
                  <c:v>80473.399999999994</c:v>
                </c:pt>
                <c:pt idx="797">
                  <c:v>235460.7</c:v>
                </c:pt>
                <c:pt idx="798">
                  <c:v>158916.6</c:v>
                </c:pt>
                <c:pt idx="799">
                  <c:v>40350.67</c:v>
                </c:pt>
                <c:pt idx="800">
                  <c:v>47545.23</c:v>
                </c:pt>
                <c:pt idx="801">
                  <c:v>69219.64</c:v>
                </c:pt>
                <c:pt idx="802">
                  <c:v>102479.94</c:v>
                </c:pt>
                <c:pt idx="803">
                  <c:v>402956.64</c:v>
                </c:pt>
                <c:pt idx="804">
                  <c:v>324833.2</c:v>
                </c:pt>
                <c:pt idx="805">
                  <c:v>429297.21</c:v>
                </c:pt>
                <c:pt idx="806">
                  <c:v>46255.26</c:v>
                </c:pt>
                <c:pt idx="807">
                  <c:v>101295.36</c:v>
                </c:pt>
                <c:pt idx="808">
                  <c:v>193777.92000000001</c:v>
                </c:pt>
                <c:pt idx="809">
                  <c:v>45270.45</c:v>
                </c:pt>
                <c:pt idx="810">
                  <c:v>60395.06</c:v>
                </c:pt>
                <c:pt idx="811">
                  <c:v>83088.899999999994</c:v>
                </c:pt>
                <c:pt idx="812">
                  <c:v>340749.52</c:v>
                </c:pt>
                <c:pt idx="813">
                  <c:v>26771.99</c:v>
                </c:pt>
                <c:pt idx="814">
                  <c:v>285213.69</c:v>
                </c:pt>
                <c:pt idx="815">
                  <c:v>125483.1</c:v>
                </c:pt>
                <c:pt idx="816">
                  <c:v>252238.7</c:v>
                </c:pt>
                <c:pt idx="817">
                  <c:v>173173.12</c:v>
                </c:pt>
                <c:pt idx="818">
                  <c:v>21553.66</c:v>
                </c:pt>
                <c:pt idx="819">
                  <c:v>51456.6</c:v>
                </c:pt>
                <c:pt idx="820">
                  <c:v>21368.29</c:v>
                </c:pt>
                <c:pt idx="821">
                  <c:v>331893.24</c:v>
                </c:pt>
                <c:pt idx="822">
                  <c:v>10864.96</c:v>
                </c:pt>
                <c:pt idx="823">
                  <c:v>91726.26</c:v>
                </c:pt>
                <c:pt idx="824">
                  <c:v>241144.8</c:v>
                </c:pt>
                <c:pt idx="825">
                  <c:v>31849.439999999999</c:v>
                </c:pt>
                <c:pt idx="826">
                  <c:v>34742.76</c:v>
                </c:pt>
                <c:pt idx="827">
                  <c:v>99371.28</c:v>
                </c:pt>
                <c:pt idx="828">
                  <c:v>87368.960000000006</c:v>
                </c:pt>
                <c:pt idx="829">
                  <c:v>101689.05</c:v>
                </c:pt>
                <c:pt idx="830">
                  <c:v>126051.16</c:v>
                </c:pt>
                <c:pt idx="831">
                  <c:v>107664.42</c:v>
                </c:pt>
                <c:pt idx="832">
                  <c:v>42437.1</c:v>
                </c:pt>
                <c:pt idx="833">
                  <c:v>99559.14</c:v>
                </c:pt>
                <c:pt idx="834">
                  <c:v>122685.55</c:v>
                </c:pt>
                <c:pt idx="835">
                  <c:v>31957.88</c:v>
                </c:pt>
                <c:pt idx="836">
                  <c:v>58707.360000000001</c:v>
                </c:pt>
                <c:pt idx="837">
                  <c:v>235105.5</c:v>
                </c:pt>
                <c:pt idx="838">
                  <c:v>258727.23</c:v>
                </c:pt>
                <c:pt idx="839">
                  <c:v>350933.9</c:v>
                </c:pt>
                <c:pt idx="840">
                  <c:v>68529.179999999993</c:v>
                </c:pt>
                <c:pt idx="841">
                  <c:v>269519.53000000003</c:v>
                </c:pt>
                <c:pt idx="842">
                  <c:v>226417.1</c:v>
                </c:pt>
                <c:pt idx="843">
                  <c:v>222899.82</c:v>
                </c:pt>
                <c:pt idx="844">
                  <c:v>164965.29</c:v>
                </c:pt>
                <c:pt idx="845">
                  <c:v>15571.2</c:v>
                </c:pt>
                <c:pt idx="846">
                  <c:v>38929.370000000003</c:v>
                </c:pt>
                <c:pt idx="847">
                  <c:v>86715.66</c:v>
                </c:pt>
                <c:pt idx="848">
                  <c:v>270821.34000000003</c:v>
                </c:pt>
                <c:pt idx="849">
                  <c:v>30519.5</c:v>
                </c:pt>
                <c:pt idx="850">
                  <c:v>93190.71</c:v>
                </c:pt>
                <c:pt idx="851">
                  <c:v>55802.3</c:v>
                </c:pt>
                <c:pt idx="852">
                  <c:v>286879.52</c:v>
                </c:pt>
                <c:pt idx="853">
                  <c:v>239465</c:v>
                </c:pt>
                <c:pt idx="854">
                  <c:v>95992.04</c:v>
                </c:pt>
                <c:pt idx="855">
                  <c:v>42500.65</c:v>
                </c:pt>
                <c:pt idx="856">
                  <c:v>60346.48</c:v>
                </c:pt>
                <c:pt idx="857">
                  <c:v>31117.360000000001</c:v>
                </c:pt>
                <c:pt idx="858">
                  <c:v>215754.42</c:v>
                </c:pt>
                <c:pt idx="859">
                  <c:v>66300.429999999993</c:v>
                </c:pt>
                <c:pt idx="860">
                  <c:v>210619.12</c:v>
                </c:pt>
                <c:pt idx="861">
                  <c:v>434820.24</c:v>
                </c:pt>
                <c:pt idx="862">
                  <c:v>90435.839999999997</c:v>
                </c:pt>
                <c:pt idx="863">
                  <c:v>80260.42</c:v>
                </c:pt>
                <c:pt idx="864">
                  <c:v>1981.7</c:v>
                </c:pt>
                <c:pt idx="865">
                  <c:v>37605.65</c:v>
                </c:pt>
                <c:pt idx="866">
                  <c:v>40275.15</c:v>
                </c:pt>
                <c:pt idx="867">
                  <c:v>113053.32</c:v>
                </c:pt>
                <c:pt idx="868">
                  <c:v>51766.12</c:v>
                </c:pt>
                <c:pt idx="869">
                  <c:v>27918.98</c:v>
                </c:pt>
                <c:pt idx="870">
                  <c:v>64048.05</c:v>
                </c:pt>
                <c:pt idx="871">
                  <c:v>138242.6</c:v>
                </c:pt>
                <c:pt idx="872">
                  <c:v>197421.55</c:v>
                </c:pt>
                <c:pt idx="873">
                  <c:v>14505.96</c:v>
                </c:pt>
                <c:pt idx="874">
                  <c:v>200523.55</c:v>
                </c:pt>
                <c:pt idx="875">
                  <c:v>91718.44</c:v>
                </c:pt>
                <c:pt idx="876">
                  <c:v>237573.1</c:v>
                </c:pt>
                <c:pt idx="877">
                  <c:v>47389.09</c:v>
                </c:pt>
                <c:pt idx="878">
                  <c:v>14209.86</c:v>
                </c:pt>
                <c:pt idx="879">
                  <c:v>70861.06</c:v>
                </c:pt>
                <c:pt idx="880">
                  <c:v>358492.72</c:v>
                </c:pt>
                <c:pt idx="881">
                  <c:v>166613.70000000001</c:v>
                </c:pt>
                <c:pt idx="882">
                  <c:v>99449.279999999999</c:v>
                </c:pt>
                <c:pt idx="883">
                  <c:v>25767.919999999998</c:v>
                </c:pt>
                <c:pt idx="884">
                  <c:v>21572.48</c:v>
                </c:pt>
                <c:pt idx="885">
                  <c:v>310471.03999999998</c:v>
                </c:pt>
                <c:pt idx="886">
                  <c:v>13050.5</c:v>
                </c:pt>
                <c:pt idx="887">
                  <c:v>330496.46999999997</c:v>
                </c:pt>
                <c:pt idx="888">
                  <c:v>16506.48</c:v>
                </c:pt>
                <c:pt idx="889">
                  <c:v>181093.04</c:v>
                </c:pt>
                <c:pt idx="890">
                  <c:v>15061.67</c:v>
                </c:pt>
                <c:pt idx="891">
                  <c:v>92444.73</c:v>
                </c:pt>
                <c:pt idx="892">
                  <c:v>292060.48</c:v>
                </c:pt>
                <c:pt idx="893">
                  <c:v>31247.14</c:v>
                </c:pt>
                <c:pt idx="894">
                  <c:v>46050</c:v>
                </c:pt>
                <c:pt idx="895">
                  <c:v>64332.45</c:v>
                </c:pt>
                <c:pt idx="896">
                  <c:v>203288.64</c:v>
                </c:pt>
                <c:pt idx="897">
                  <c:v>282545.09999999998</c:v>
                </c:pt>
                <c:pt idx="898">
                  <c:v>25348.95</c:v>
                </c:pt>
                <c:pt idx="899">
                  <c:v>118857.45</c:v>
                </c:pt>
                <c:pt idx="900">
                  <c:v>297463.11</c:v>
                </c:pt>
                <c:pt idx="901">
                  <c:v>148435.74</c:v>
                </c:pt>
                <c:pt idx="902">
                  <c:v>129500.85</c:v>
                </c:pt>
                <c:pt idx="903">
                  <c:v>261678.42</c:v>
                </c:pt>
                <c:pt idx="904">
                  <c:v>40714.699999999997</c:v>
                </c:pt>
                <c:pt idx="905">
                  <c:v>200969.45</c:v>
                </c:pt>
                <c:pt idx="906">
                  <c:v>18127.66</c:v>
                </c:pt>
                <c:pt idx="907">
                  <c:v>109150.3</c:v>
                </c:pt>
                <c:pt idx="908">
                  <c:v>78848.08</c:v>
                </c:pt>
                <c:pt idx="909">
                  <c:v>61486.2</c:v>
                </c:pt>
                <c:pt idx="910">
                  <c:v>30394.74</c:v>
                </c:pt>
                <c:pt idx="911">
                  <c:v>20875.52</c:v>
                </c:pt>
                <c:pt idx="912">
                  <c:v>129458.07</c:v>
                </c:pt>
                <c:pt idx="913">
                  <c:v>3239.94</c:v>
                </c:pt>
                <c:pt idx="914">
                  <c:v>10625.65</c:v>
                </c:pt>
                <c:pt idx="915">
                  <c:v>90508.14</c:v>
                </c:pt>
                <c:pt idx="916">
                  <c:v>59828.92</c:v>
                </c:pt>
                <c:pt idx="917">
                  <c:v>154958.15</c:v>
                </c:pt>
                <c:pt idx="918">
                  <c:v>110596.22</c:v>
                </c:pt>
                <c:pt idx="919">
                  <c:v>62429.88</c:v>
                </c:pt>
                <c:pt idx="920">
                  <c:v>21496.95</c:v>
                </c:pt>
                <c:pt idx="921">
                  <c:v>299498.92</c:v>
                </c:pt>
                <c:pt idx="922">
                  <c:v>91236</c:v>
                </c:pt>
                <c:pt idx="923">
                  <c:v>215004.9</c:v>
                </c:pt>
                <c:pt idx="924">
                  <c:v>1961.91</c:v>
                </c:pt>
                <c:pt idx="925">
                  <c:v>11539.95</c:v>
                </c:pt>
                <c:pt idx="926">
                  <c:v>405225.6</c:v>
                </c:pt>
                <c:pt idx="927">
                  <c:v>159668.96</c:v>
                </c:pt>
                <c:pt idx="928">
                  <c:v>23886.69</c:v>
                </c:pt>
                <c:pt idx="929">
                  <c:v>46629.03</c:v>
                </c:pt>
                <c:pt idx="930">
                  <c:v>109913.8</c:v>
                </c:pt>
                <c:pt idx="931">
                  <c:v>39400.400000000001</c:v>
                </c:pt>
                <c:pt idx="932">
                  <c:v>280189.12</c:v>
                </c:pt>
                <c:pt idx="933">
                  <c:v>98774.399999999994</c:v>
                </c:pt>
                <c:pt idx="934">
                  <c:v>122431.8</c:v>
                </c:pt>
                <c:pt idx="935">
                  <c:v>76277.7</c:v>
                </c:pt>
                <c:pt idx="936">
                  <c:v>132438.18</c:v>
                </c:pt>
                <c:pt idx="937">
                  <c:v>217109.48</c:v>
                </c:pt>
                <c:pt idx="938">
                  <c:v>47743.08</c:v>
                </c:pt>
                <c:pt idx="939">
                  <c:v>127543.5</c:v>
                </c:pt>
                <c:pt idx="940">
                  <c:v>321187.65000000002</c:v>
                </c:pt>
                <c:pt idx="941">
                  <c:v>84954.25</c:v>
                </c:pt>
                <c:pt idx="942">
                  <c:v>40383.06</c:v>
                </c:pt>
                <c:pt idx="943">
                  <c:v>374935.6</c:v>
                </c:pt>
                <c:pt idx="944">
                  <c:v>162554.32</c:v>
                </c:pt>
                <c:pt idx="945">
                  <c:v>191143.08</c:v>
                </c:pt>
                <c:pt idx="946">
                  <c:v>8321.5400000000009</c:v>
                </c:pt>
                <c:pt idx="947">
                  <c:v>473144.2</c:v>
                </c:pt>
                <c:pt idx="948">
                  <c:v>311126.03999999998</c:v>
                </c:pt>
                <c:pt idx="949">
                  <c:v>237978.32</c:v>
                </c:pt>
                <c:pt idx="950">
                  <c:v>195601.44</c:v>
                </c:pt>
                <c:pt idx="951">
                  <c:v>55976.480000000003</c:v>
                </c:pt>
                <c:pt idx="952">
                  <c:v>212252.94</c:v>
                </c:pt>
                <c:pt idx="953">
                  <c:v>75415.95</c:v>
                </c:pt>
                <c:pt idx="954">
                  <c:v>76855.259999999995</c:v>
                </c:pt>
                <c:pt idx="955">
                  <c:v>126134.07</c:v>
                </c:pt>
                <c:pt idx="956">
                  <c:v>301283.73</c:v>
                </c:pt>
                <c:pt idx="957">
                  <c:v>146075.29999999999</c:v>
                </c:pt>
                <c:pt idx="958">
                  <c:v>34619.769999999997</c:v>
                </c:pt>
                <c:pt idx="959">
                  <c:v>301320.63</c:v>
                </c:pt>
                <c:pt idx="960">
                  <c:v>85329</c:v>
                </c:pt>
                <c:pt idx="961">
                  <c:v>223298.32</c:v>
                </c:pt>
                <c:pt idx="962">
                  <c:v>154238.45000000001</c:v>
                </c:pt>
                <c:pt idx="963">
                  <c:v>79157.2</c:v>
                </c:pt>
                <c:pt idx="964">
                  <c:v>280228.24</c:v>
                </c:pt>
                <c:pt idx="965">
                  <c:v>37727.1</c:v>
                </c:pt>
                <c:pt idx="966">
                  <c:v>98255.31</c:v>
                </c:pt>
                <c:pt idx="967">
                  <c:v>219795.57</c:v>
                </c:pt>
                <c:pt idx="968">
                  <c:v>31739.18</c:v>
                </c:pt>
                <c:pt idx="969">
                  <c:v>6976.56</c:v>
                </c:pt>
                <c:pt idx="970">
                  <c:v>39956.160000000003</c:v>
                </c:pt>
                <c:pt idx="971">
                  <c:v>431463.9</c:v>
                </c:pt>
                <c:pt idx="972">
                  <c:v>485667.8</c:v>
                </c:pt>
                <c:pt idx="973">
                  <c:v>37134.959999999999</c:v>
                </c:pt>
                <c:pt idx="974">
                  <c:v>140731.04999999999</c:v>
                </c:pt>
                <c:pt idx="975">
                  <c:v>25737.43</c:v>
                </c:pt>
                <c:pt idx="976">
                  <c:v>115969.35</c:v>
                </c:pt>
                <c:pt idx="977">
                  <c:v>267400.44</c:v>
                </c:pt>
                <c:pt idx="978">
                  <c:v>82567.7</c:v>
                </c:pt>
                <c:pt idx="979">
                  <c:v>30398.639999999999</c:v>
                </c:pt>
                <c:pt idx="980">
                  <c:v>468522</c:v>
                </c:pt>
                <c:pt idx="981">
                  <c:v>54039.78</c:v>
                </c:pt>
                <c:pt idx="982">
                  <c:v>144754.88</c:v>
                </c:pt>
                <c:pt idx="983">
                  <c:v>100553.37</c:v>
                </c:pt>
                <c:pt idx="984">
                  <c:v>3375.35</c:v>
                </c:pt>
                <c:pt idx="985">
                  <c:v>136560.28</c:v>
                </c:pt>
                <c:pt idx="986">
                  <c:v>34690.300000000003</c:v>
                </c:pt>
                <c:pt idx="987">
                  <c:v>93055.86</c:v>
                </c:pt>
                <c:pt idx="988">
                  <c:v>21819.5</c:v>
                </c:pt>
                <c:pt idx="989">
                  <c:v>105461.08</c:v>
                </c:pt>
                <c:pt idx="990">
                  <c:v>313519.95</c:v>
                </c:pt>
                <c:pt idx="991">
                  <c:v>357007.84</c:v>
                </c:pt>
                <c:pt idx="992">
                  <c:v>36396.699999999997</c:v>
                </c:pt>
                <c:pt idx="993">
                  <c:v>37930.19</c:v>
                </c:pt>
                <c:pt idx="994">
                  <c:v>398903.76</c:v>
                </c:pt>
                <c:pt idx="995">
                  <c:v>318649.86</c:v>
                </c:pt>
                <c:pt idx="996">
                  <c:v>92273.25</c:v>
                </c:pt>
                <c:pt idx="997">
                  <c:v>116744.31</c:v>
                </c:pt>
                <c:pt idx="998">
                  <c:v>25911.09</c:v>
                </c:pt>
                <c:pt idx="999">
                  <c:v>202444.83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3A-47F9-A49F-15F573865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630464"/>
        <c:axId val="581234000"/>
      </c:scatterChart>
      <c:valAx>
        <c:axId val="71463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34000"/>
        <c:crosses val="autoZero"/>
        <c:crossBetween val="midCat"/>
      </c:valAx>
      <c:valAx>
        <c:axId val="5812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63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TotalSales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Cleaned_Sales_Dataset!$L$1</c:f>
              <c:strCache>
                <c:ptCount val="1"/>
                <c:pt idx="0">
                  <c:v>TotalSales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036089238845137E-2"/>
                  <c:y val="-0.491902522601341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Cleaned_Sales_Dataset!$E$2:$E$1001</c:f>
              <c:numCache>
                <c:formatCode>General</c:formatCode>
                <c:ptCount val="1000"/>
                <c:pt idx="0">
                  <c:v>30</c:v>
                </c:pt>
                <c:pt idx="1">
                  <c:v>63</c:v>
                </c:pt>
                <c:pt idx="2">
                  <c:v>62</c:v>
                </c:pt>
                <c:pt idx="3">
                  <c:v>65</c:v>
                </c:pt>
                <c:pt idx="4">
                  <c:v>44</c:v>
                </c:pt>
                <c:pt idx="5">
                  <c:v>40</c:v>
                </c:pt>
                <c:pt idx="6">
                  <c:v>61</c:v>
                </c:pt>
                <c:pt idx="7">
                  <c:v>35</c:v>
                </c:pt>
                <c:pt idx="8">
                  <c:v>41</c:v>
                </c:pt>
                <c:pt idx="9">
                  <c:v>30</c:v>
                </c:pt>
                <c:pt idx="10">
                  <c:v>51</c:v>
                </c:pt>
                <c:pt idx="11">
                  <c:v>55</c:v>
                </c:pt>
                <c:pt idx="12">
                  <c:v>32</c:v>
                </c:pt>
                <c:pt idx="13">
                  <c:v>50</c:v>
                </c:pt>
                <c:pt idx="14">
                  <c:v>42</c:v>
                </c:pt>
                <c:pt idx="15">
                  <c:v>36</c:v>
                </c:pt>
                <c:pt idx="16">
                  <c:v>30</c:v>
                </c:pt>
                <c:pt idx="17">
                  <c:v>31</c:v>
                </c:pt>
                <c:pt idx="18">
                  <c:v>57</c:v>
                </c:pt>
                <c:pt idx="19">
                  <c:v>34</c:v>
                </c:pt>
                <c:pt idx="20">
                  <c:v>65</c:v>
                </c:pt>
                <c:pt idx="21">
                  <c:v>31</c:v>
                </c:pt>
                <c:pt idx="22">
                  <c:v>52</c:v>
                </c:pt>
                <c:pt idx="23">
                  <c:v>44</c:v>
                </c:pt>
                <c:pt idx="24">
                  <c:v>30</c:v>
                </c:pt>
                <c:pt idx="25">
                  <c:v>65</c:v>
                </c:pt>
                <c:pt idx="26">
                  <c:v>35</c:v>
                </c:pt>
                <c:pt idx="27">
                  <c:v>32</c:v>
                </c:pt>
                <c:pt idx="28">
                  <c:v>38</c:v>
                </c:pt>
                <c:pt idx="29">
                  <c:v>33</c:v>
                </c:pt>
                <c:pt idx="30">
                  <c:v>33</c:v>
                </c:pt>
                <c:pt idx="31">
                  <c:v>21</c:v>
                </c:pt>
                <c:pt idx="32">
                  <c:v>44</c:v>
                </c:pt>
                <c:pt idx="33">
                  <c:v>18</c:v>
                </c:pt>
                <c:pt idx="34">
                  <c:v>36</c:v>
                </c:pt>
                <c:pt idx="35">
                  <c:v>46</c:v>
                </c:pt>
                <c:pt idx="36">
                  <c:v>23</c:v>
                </c:pt>
                <c:pt idx="37">
                  <c:v>29</c:v>
                </c:pt>
                <c:pt idx="38">
                  <c:v>58</c:v>
                </c:pt>
                <c:pt idx="39">
                  <c:v>39</c:v>
                </c:pt>
                <c:pt idx="40">
                  <c:v>50</c:v>
                </c:pt>
                <c:pt idx="41">
                  <c:v>43</c:v>
                </c:pt>
                <c:pt idx="42">
                  <c:v>58</c:v>
                </c:pt>
                <c:pt idx="43">
                  <c:v>55</c:v>
                </c:pt>
                <c:pt idx="44">
                  <c:v>27</c:v>
                </c:pt>
                <c:pt idx="45">
                  <c:v>34</c:v>
                </c:pt>
                <c:pt idx="46">
                  <c:v>42</c:v>
                </c:pt>
                <c:pt idx="47">
                  <c:v>55</c:v>
                </c:pt>
                <c:pt idx="49">
                  <c:v>39</c:v>
                </c:pt>
                <c:pt idx="50">
                  <c:v>58</c:v>
                </c:pt>
                <c:pt idx="51">
                  <c:v>33</c:v>
                </c:pt>
                <c:pt idx="52">
                  <c:v>58</c:v>
                </c:pt>
                <c:pt idx="53">
                  <c:v>42</c:v>
                </c:pt>
                <c:pt idx="54">
                  <c:v>26</c:v>
                </c:pt>
                <c:pt idx="55">
                  <c:v>58</c:v>
                </c:pt>
                <c:pt idx="56">
                  <c:v>18</c:v>
                </c:pt>
                <c:pt idx="57">
                  <c:v>50</c:v>
                </c:pt>
                <c:pt idx="58">
                  <c:v>47</c:v>
                </c:pt>
                <c:pt idx="59">
                  <c:v>46</c:v>
                </c:pt>
                <c:pt idx="60">
                  <c:v>27</c:v>
                </c:pt>
                <c:pt idx="61">
                  <c:v>43</c:v>
                </c:pt>
                <c:pt idx="62">
                  <c:v>21</c:v>
                </c:pt>
                <c:pt idx="63">
                  <c:v>47</c:v>
                </c:pt>
                <c:pt idx="64">
                  <c:v>53</c:v>
                </c:pt>
                <c:pt idx="65">
                  <c:v>36</c:v>
                </c:pt>
                <c:pt idx="66">
                  <c:v>39</c:v>
                </c:pt>
                <c:pt idx="67">
                  <c:v>40</c:v>
                </c:pt>
                <c:pt idx="68">
                  <c:v>26</c:v>
                </c:pt>
                <c:pt idx="69">
                  <c:v>56</c:v>
                </c:pt>
                <c:pt idx="70">
                  <c:v>52</c:v>
                </c:pt>
                <c:pt idx="71">
                  <c:v>45</c:v>
                </c:pt>
                <c:pt idx="72">
                  <c:v>27</c:v>
                </c:pt>
                <c:pt idx="73">
                  <c:v>58</c:v>
                </c:pt>
                <c:pt idx="74">
                  <c:v>45</c:v>
                </c:pt>
                <c:pt idx="75">
                  <c:v>22</c:v>
                </c:pt>
                <c:pt idx="76">
                  <c:v>58</c:v>
                </c:pt>
                <c:pt idx="77">
                  <c:v>62</c:v>
                </c:pt>
                <c:pt idx="78">
                  <c:v>61</c:v>
                </c:pt>
                <c:pt idx="79">
                  <c:v>19</c:v>
                </c:pt>
                <c:pt idx="80">
                  <c:v>25</c:v>
                </c:pt>
                <c:pt idx="81">
                  <c:v>30</c:v>
                </c:pt>
                <c:pt idx="82">
                  <c:v>36</c:v>
                </c:pt>
                <c:pt idx="83">
                  <c:v>59</c:v>
                </c:pt>
                <c:pt idx="84">
                  <c:v>51</c:v>
                </c:pt>
                <c:pt idx="85">
                  <c:v>56</c:v>
                </c:pt>
                <c:pt idx="86">
                  <c:v>59</c:v>
                </c:pt>
                <c:pt idx="87">
                  <c:v>44</c:v>
                </c:pt>
                <c:pt idx="88">
                  <c:v>21</c:v>
                </c:pt>
                <c:pt idx="89">
                  <c:v>34</c:v>
                </c:pt>
                <c:pt idx="90">
                  <c:v>48</c:v>
                </c:pt>
                <c:pt idx="91">
                  <c:v>19</c:v>
                </c:pt>
                <c:pt idx="92">
                  <c:v>32</c:v>
                </c:pt>
                <c:pt idx="93">
                  <c:v>47</c:v>
                </c:pt>
                <c:pt idx="94">
                  <c:v>38</c:v>
                </c:pt>
                <c:pt idx="95">
                  <c:v>62</c:v>
                </c:pt>
                <c:pt idx="96">
                  <c:v>32</c:v>
                </c:pt>
                <c:pt idx="97">
                  <c:v>54</c:v>
                </c:pt>
                <c:pt idx="99">
                  <c:v>47</c:v>
                </c:pt>
                <c:pt idx="100">
                  <c:v>20</c:v>
                </c:pt>
                <c:pt idx="101">
                  <c:v>43</c:v>
                </c:pt>
                <c:pt idx="102">
                  <c:v>54</c:v>
                </c:pt>
                <c:pt idx="103">
                  <c:v>44</c:v>
                </c:pt>
                <c:pt idx="104">
                  <c:v>44</c:v>
                </c:pt>
                <c:pt idx="105">
                  <c:v>32</c:v>
                </c:pt>
                <c:pt idx="106">
                  <c:v>33</c:v>
                </c:pt>
                <c:pt idx="107">
                  <c:v>29</c:v>
                </c:pt>
                <c:pt idx="108">
                  <c:v>44</c:v>
                </c:pt>
                <c:pt idx="109">
                  <c:v>28</c:v>
                </c:pt>
                <c:pt idx="110">
                  <c:v>32</c:v>
                </c:pt>
                <c:pt idx="111">
                  <c:v>49</c:v>
                </c:pt>
                <c:pt idx="112">
                  <c:v>35</c:v>
                </c:pt>
                <c:pt idx="113">
                  <c:v>48</c:v>
                </c:pt>
                <c:pt idx="114">
                  <c:v>63</c:v>
                </c:pt>
                <c:pt idx="115">
                  <c:v>46</c:v>
                </c:pt>
                <c:pt idx="116">
                  <c:v>33</c:v>
                </c:pt>
                <c:pt idx="117">
                  <c:v>49</c:v>
                </c:pt>
                <c:pt idx="118">
                  <c:v>34</c:v>
                </c:pt>
                <c:pt idx="119">
                  <c:v>24</c:v>
                </c:pt>
                <c:pt idx="120">
                  <c:v>39</c:v>
                </c:pt>
                <c:pt idx="121">
                  <c:v>23</c:v>
                </c:pt>
                <c:pt idx="122">
                  <c:v>53</c:v>
                </c:pt>
                <c:pt idx="123">
                  <c:v>33</c:v>
                </c:pt>
                <c:pt idx="124">
                  <c:v>34</c:v>
                </c:pt>
                <c:pt idx="125">
                  <c:v>57</c:v>
                </c:pt>
                <c:pt idx="126">
                  <c:v>55</c:v>
                </c:pt>
                <c:pt idx="127">
                  <c:v>44</c:v>
                </c:pt>
                <c:pt idx="128">
                  <c:v>33</c:v>
                </c:pt>
                <c:pt idx="129">
                  <c:v>20</c:v>
                </c:pt>
                <c:pt idx="130">
                  <c:v>37</c:v>
                </c:pt>
                <c:pt idx="131">
                  <c:v>65</c:v>
                </c:pt>
                <c:pt idx="132">
                  <c:v>34</c:v>
                </c:pt>
                <c:pt idx="133">
                  <c:v>45</c:v>
                </c:pt>
                <c:pt idx="134">
                  <c:v>46</c:v>
                </c:pt>
                <c:pt idx="135">
                  <c:v>28</c:v>
                </c:pt>
                <c:pt idx="136">
                  <c:v>22</c:v>
                </c:pt>
                <c:pt idx="137">
                  <c:v>52</c:v>
                </c:pt>
                <c:pt idx="138">
                  <c:v>18</c:v>
                </c:pt>
                <c:pt idx="139">
                  <c:v>24</c:v>
                </c:pt>
                <c:pt idx="140">
                  <c:v>54</c:v>
                </c:pt>
                <c:pt idx="141">
                  <c:v>33</c:v>
                </c:pt>
                <c:pt idx="142">
                  <c:v>32</c:v>
                </c:pt>
                <c:pt idx="143">
                  <c:v>28</c:v>
                </c:pt>
                <c:pt idx="144">
                  <c:v>59</c:v>
                </c:pt>
                <c:pt idx="145">
                  <c:v>18</c:v>
                </c:pt>
                <c:pt idx="146">
                  <c:v>51</c:v>
                </c:pt>
                <c:pt idx="147">
                  <c:v>64</c:v>
                </c:pt>
                <c:pt idx="149">
                  <c:v>19</c:v>
                </c:pt>
                <c:pt idx="150">
                  <c:v>53</c:v>
                </c:pt>
                <c:pt idx="151">
                  <c:v>30</c:v>
                </c:pt>
                <c:pt idx="152">
                  <c:v>56</c:v>
                </c:pt>
                <c:pt idx="153">
                  <c:v>53</c:v>
                </c:pt>
                <c:pt idx="154">
                  <c:v>64</c:v>
                </c:pt>
                <c:pt idx="155">
                  <c:v>60</c:v>
                </c:pt>
                <c:pt idx="156">
                  <c:v>36</c:v>
                </c:pt>
                <c:pt idx="157">
                  <c:v>30</c:v>
                </c:pt>
                <c:pt idx="158">
                  <c:v>55</c:v>
                </c:pt>
                <c:pt idx="159">
                  <c:v>65</c:v>
                </c:pt>
                <c:pt idx="160">
                  <c:v>27</c:v>
                </c:pt>
                <c:pt idx="161">
                  <c:v>57</c:v>
                </c:pt>
                <c:pt idx="162">
                  <c:v>61</c:v>
                </c:pt>
                <c:pt idx="163">
                  <c:v>41</c:v>
                </c:pt>
                <c:pt idx="164">
                  <c:v>54</c:v>
                </c:pt>
                <c:pt idx="165">
                  <c:v>37</c:v>
                </c:pt>
                <c:pt idx="166">
                  <c:v>32</c:v>
                </c:pt>
                <c:pt idx="167">
                  <c:v>35</c:v>
                </c:pt>
                <c:pt idx="168">
                  <c:v>49</c:v>
                </c:pt>
                <c:pt idx="169">
                  <c:v>24</c:v>
                </c:pt>
                <c:pt idx="170">
                  <c:v>56</c:v>
                </c:pt>
                <c:pt idx="171">
                  <c:v>18</c:v>
                </c:pt>
                <c:pt idx="172">
                  <c:v>35</c:v>
                </c:pt>
                <c:pt idx="173">
                  <c:v>41</c:v>
                </c:pt>
                <c:pt idx="174">
                  <c:v>21</c:v>
                </c:pt>
                <c:pt idx="175">
                  <c:v>54</c:v>
                </c:pt>
                <c:pt idx="176">
                  <c:v>20</c:v>
                </c:pt>
                <c:pt idx="177">
                  <c:v>44</c:v>
                </c:pt>
                <c:pt idx="178">
                  <c:v>27</c:v>
                </c:pt>
                <c:pt idx="179">
                  <c:v>55</c:v>
                </c:pt>
                <c:pt idx="180">
                  <c:v>35</c:v>
                </c:pt>
                <c:pt idx="181">
                  <c:v>60</c:v>
                </c:pt>
                <c:pt idx="182">
                  <c:v>43</c:v>
                </c:pt>
                <c:pt idx="183">
                  <c:v>34</c:v>
                </c:pt>
                <c:pt idx="184">
                  <c:v>44</c:v>
                </c:pt>
                <c:pt idx="185">
                  <c:v>60</c:v>
                </c:pt>
                <c:pt idx="186">
                  <c:v>33</c:v>
                </c:pt>
                <c:pt idx="187">
                  <c:v>27</c:v>
                </c:pt>
                <c:pt idx="188">
                  <c:v>43</c:v>
                </c:pt>
                <c:pt idx="189">
                  <c:v>60</c:v>
                </c:pt>
                <c:pt idx="190">
                  <c:v>55</c:v>
                </c:pt>
                <c:pt idx="191">
                  <c:v>25</c:v>
                </c:pt>
                <c:pt idx="192">
                  <c:v>24</c:v>
                </c:pt>
                <c:pt idx="193">
                  <c:v>41</c:v>
                </c:pt>
                <c:pt idx="194">
                  <c:v>61</c:v>
                </c:pt>
                <c:pt idx="195">
                  <c:v>23</c:v>
                </c:pt>
                <c:pt idx="196">
                  <c:v>36</c:v>
                </c:pt>
                <c:pt idx="197">
                  <c:v>38</c:v>
                </c:pt>
                <c:pt idx="199">
                  <c:v>44</c:v>
                </c:pt>
                <c:pt idx="200">
                  <c:v>59</c:v>
                </c:pt>
                <c:pt idx="201">
                  <c:v>61</c:v>
                </c:pt>
                <c:pt idx="202">
                  <c:v>52</c:v>
                </c:pt>
                <c:pt idx="203">
                  <c:v>59</c:v>
                </c:pt>
                <c:pt idx="204">
                  <c:v>55</c:v>
                </c:pt>
                <c:pt idx="205">
                  <c:v>45</c:v>
                </c:pt>
                <c:pt idx="206">
                  <c:v>31</c:v>
                </c:pt>
                <c:pt idx="207">
                  <c:v>40</c:v>
                </c:pt>
                <c:pt idx="208">
                  <c:v>44</c:v>
                </c:pt>
                <c:pt idx="209">
                  <c:v>55</c:v>
                </c:pt>
                <c:pt idx="210">
                  <c:v>20</c:v>
                </c:pt>
                <c:pt idx="211">
                  <c:v>34</c:v>
                </c:pt>
                <c:pt idx="212">
                  <c:v>37</c:v>
                </c:pt>
                <c:pt idx="213">
                  <c:v>43</c:v>
                </c:pt>
                <c:pt idx="214">
                  <c:v>23</c:v>
                </c:pt>
                <c:pt idx="215">
                  <c:v>60</c:v>
                </c:pt>
                <c:pt idx="216">
                  <c:v>39</c:v>
                </c:pt>
                <c:pt idx="217">
                  <c:v>25</c:v>
                </c:pt>
                <c:pt idx="218">
                  <c:v>23</c:v>
                </c:pt>
                <c:pt idx="219">
                  <c:v>65</c:v>
                </c:pt>
                <c:pt idx="220">
                  <c:v>20</c:v>
                </c:pt>
                <c:pt idx="221">
                  <c:v>38</c:v>
                </c:pt>
                <c:pt idx="222">
                  <c:v>22</c:v>
                </c:pt>
                <c:pt idx="223">
                  <c:v>37</c:v>
                </c:pt>
                <c:pt idx="224">
                  <c:v>54</c:v>
                </c:pt>
                <c:pt idx="225">
                  <c:v>22</c:v>
                </c:pt>
                <c:pt idx="226">
                  <c:v>63</c:v>
                </c:pt>
                <c:pt idx="227">
                  <c:v>28</c:v>
                </c:pt>
                <c:pt idx="228">
                  <c:v>63</c:v>
                </c:pt>
                <c:pt idx="229">
                  <c:v>45</c:v>
                </c:pt>
                <c:pt idx="230">
                  <c:v>61</c:v>
                </c:pt>
                <c:pt idx="231">
                  <c:v>61</c:v>
                </c:pt>
                <c:pt idx="232">
                  <c:v>63</c:v>
                </c:pt>
                <c:pt idx="233">
                  <c:v>41</c:v>
                </c:pt>
                <c:pt idx="234">
                  <c:v>62</c:v>
                </c:pt>
                <c:pt idx="235">
                  <c:v>32</c:v>
                </c:pt>
                <c:pt idx="236">
                  <c:v>40</c:v>
                </c:pt>
                <c:pt idx="237">
                  <c:v>38</c:v>
                </c:pt>
                <c:pt idx="238">
                  <c:v>23</c:v>
                </c:pt>
                <c:pt idx="239">
                  <c:v>36</c:v>
                </c:pt>
                <c:pt idx="240">
                  <c:v>34</c:v>
                </c:pt>
                <c:pt idx="241">
                  <c:v>21</c:v>
                </c:pt>
                <c:pt idx="242">
                  <c:v>21</c:v>
                </c:pt>
                <c:pt idx="243">
                  <c:v>25</c:v>
                </c:pt>
                <c:pt idx="244">
                  <c:v>51</c:v>
                </c:pt>
                <c:pt idx="245">
                  <c:v>54</c:v>
                </c:pt>
                <c:pt idx="246">
                  <c:v>40</c:v>
                </c:pt>
                <c:pt idx="247">
                  <c:v>19</c:v>
                </c:pt>
                <c:pt idx="249">
                  <c:v>42</c:v>
                </c:pt>
                <c:pt idx="250">
                  <c:v>26</c:v>
                </c:pt>
                <c:pt idx="251">
                  <c:v>50</c:v>
                </c:pt>
                <c:pt idx="252">
                  <c:v>41</c:v>
                </c:pt>
                <c:pt idx="253">
                  <c:v>47</c:v>
                </c:pt>
                <c:pt idx="254">
                  <c:v>41</c:v>
                </c:pt>
                <c:pt idx="255">
                  <c:v>64</c:v>
                </c:pt>
                <c:pt idx="256">
                  <c:v>41</c:v>
                </c:pt>
                <c:pt idx="257">
                  <c:v>27</c:v>
                </c:pt>
                <c:pt idx="258">
                  <c:v>32</c:v>
                </c:pt>
                <c:pt idx="259">
                  <c:v>23</c:v>
                </c:pt>
                <c:pt idx="260">
                  <c:v>56</c:v>
                </c:pt>
                <c:pt idx="261">
                  <c:v>21</c:v>
                </c:pt>
                <c:pt idx="262">
                  <c:v>33</c:v>
                </c:pt>
                <c:pt idx="263">
                  <c:v>35</c:v>
                </c:pt>
                <c:pt idx="264">
                  <c:v>40</c:v>
                </c:pt>
                <c:pt idx="265">
                  <c:v>21</c:v>
                </c:pt>
                <c:pt idx="266">
                  <c:v>25</c:v>
                </c:pt>
                <c:pt idx="267">
                  <c:v>31</c:v>
                </c:pt>
                <c:pt idx="268">
                  <c:v>54</c:v>
                </c:pt>
                <c:pt idx="269">
                  <c:v>48</c:v>
                </c:pt>
                <c:pt idx="270">
                  <c:v>22</c:v>
                </c:pt>
                <c:pt idx="271">
                  <c:v>62</c:v>
                </c:pt>
                <c:pt idx="272">
                  <c:v>22</c:v>
                </c:pt>
                <c:pt idx="273">
                  <c:v>34</c:v>
                </c:pt>
                <c:pt idx="274">
                  <c:v>23</c:v>
                </c:pt>
                <c:pt idx="275">
                  <c:v>63</c:v>
                </c:pt>
                <c:pt idx="276">
                  <c:v>63</c:v>
                </c:pt>
                <c:pt idx="277">
                  <c:v>54</c:v>
                </c:pt>
                <c:pt idx="278">
                  <c:v>21</c:v>
                </c:pt>
                <c:pt idx="279">
                  <c:v>18</c:v>
                </c:pt>
                <c:pt idx="280">
                  <c:v>26</c:v>
                </c:pt>
                <c:pt idx="281">
                  <c:v>39</c:v>
                </c:pt>
                <c:pt idx="282">
                  <c:v>65</c:v>
                </c:pt>
                <c:pt idx="283">
                  <c:v>18</c:v>
                </c:pt>
                <c:pt idx="284">
                  <c:v>64</c:v>
                </c:pt>
                <c:pt idx="285">
                  <c:v>52</c:v>
                </c:pt>
                <c:pt idx="286">
                  <c:v>46</c:v>
                </c:pt>
                <c:pt idx="287">
                  <c:v>31</c:v>
                </c:pt>
                <c:pt idx="288">
                  <c:v>51</c:v>
                </c:pt>
                <c:pt idx="289">
                  <c:v>22</c:v>
                </c:pt>
                <c:pt idx="290">
                  <c:v>23</c:v>
                </c:pt>
                <c:pt idx="291">
                  <c:v>44</c:v>
                </c:pt>
                <c:pt idx="292">
                  <c:v>41</c:v>
                </c:pt>
                <c:pt idx="293">
                  <c:v>18</c:v>
                </c:pt>
                <c:pt idx="294">
                  <c:v>30</c:v>
                </c:pt>
                <c:pt idx="295">
                  <c:v>18</c:v>
                </c:pt>
                <c:pt idx="296">
                  <c:v>37</c:v>
                </c:pt>
                <c:pt idx="297">
                  <c:v>39</c:v>
                </c:pt>
                <c:pt idx="299">
                  <c:v>30</c:v>
                </c:pt>
                <c:pt idx="300">
                  <c:v>30</c:v>
                </c:pt>
                <c:pt idx="301">
                  <c:v>36</c:v>
                </c:pt>
                <c:pt idx="302">
                  <c:v>20</c:v>
                </c:pt>
                <c:pt idx="303">
                  <c:v>40</c:v>
                </c:pt>
                <c:pt idx="304">
                  <c:v>52</c:v>
                </c:pt>
                <c:pt idx="305">
                  <c:v>53</c:v>
                </c:pt>
                <c:pt idx="306">
                  <c:v>50</c:v>
                </c:pt>
                <c:pt idx="307">
                  <c:v>50</c:v>
                </c:pt>
                <c:pt idx="308">
                  <c:v>27</c:v>
                </c:pt>
                <c:pt idx="309">
                  <c:v>56</c:v>
                </c:pt>
                <c:pt idx="310">
                  <c:v>64</c:v>
                </c:pt>
                <c:pt idx="311">
                  <c:v>64</c:v>
                </c:pt>
                <c:pt idx="312">
                  <c:v>49</c:v>
                </c:pt>
                <c:pt idx="313">
                  <c:v>51</c:v>
                </c:pt>
                <c:pt idx="314">
                  <c:v>32</c:v>
                </c:pt>
                <c:pt idx="315">
                  <c:v>37</c:v>
                </c:pt>
                <c:pt idx="316">
                  <c:v>51</c:v>
                </c:pt>
                <c:pt idx="317">
                  <c:v>52</c:v>
                </c:pt>
                <c:pt idx="318">
                  <c:v>52</c:v>
                </c:pt>
                <c:pt idx="319">
                  <c:v>54</c:v>
                </c:pt>
                <c:pt idx="320">
                  <c:v>56</c:v>
                </c:pt>
                <c:pt idx="321">
                  <c:v>35</c:v>
                </c:pt>
                <c:pt idx="322">
                  <c:v>54</c:v>
                </c:pt>
                <c:pt idx="323">
                  <c:v>40</c:v>
                </c:pt>
                <c:pt idx="324">
                  <c:v>30</c:v>
                </c:pt>
                <c:pt idx="325">
                  <c:v>47</c:v>
                </c:pt>
                <c:pt idx="326">
                  <c:v>65</c:v>
                </c:pt>
                <c:pt idx="327">
                  <c:v>48</c:v>
                </c:pt>
                <c:pt idx="328">
                  <c:v>62</c:v>
                </c:pt>
                <c:pt idx="329">
                  <c:v>55</c:v>
                </c:pt>
                <c:pt idx="330">
                  <c:v>44</c:v>
                </c:pt>
                <c:pt idx="331">
                  <c:v>41</c:v>
                </c:pt>
                <c:pt idx="332">
                  <c:v>29</c:v>
                </c:pt>
                <c:pt idx="333">
                  <c:v>28</c:v>
                </c:pt>
                <c:pt idx="334">
                  <c:v>35</c:v>
                </c:pt>
                <c:pt idx="335">
                  <c:v>57</c:v>
                </c:pt>
                <c:pt idx="336">
                  <c:v>53</c:v>
                </c:pt>
                <c:pt idx="337">
                  <c:v>65</c:v>
                </c:pt>
                <c:pt idx="338">
                  <c:v>47</c:v>
                </c:pt>
                <c:pt idx="339">
                  <c:v>52</c:v>
                </c:pt>
                <c:pt idx="340">
                  <c:v>47</c:v>
                </c:pt>
                <c:pt idx="341">
                  <c:v>50</c:v>
                </c:pt>
                <c:pt idx="342">
                  <c:v>31</c:v>
                </c:pt>
                <c:pt idx="343">
                  <c:v>56</c:v>
                </c:pt>
                <c:pt idx="344">
                  <c:v>31</c:v>
                </c:pt>
                <c:pt idx="345">
                  <c:v>37</c:v>
                </c:pt>
                <c:pt idx="346">
                  <c:v>42</c:v>
                </c:pt>
                <c:pt idx="347">
                  <c:v>38</c:v>
                </c:pt>
                <c:pt idx="349">
                  <c:v>50</c:v>
                </c:pt>
                <c:pt idx="350">
                  <c:v>37</c:v>
                </c:pt>
                <c:pt idx="351">
                  <c:v>55</c:v>
                </c:pt>
                <c:pt idx="352">
                  <c:v>34</c:v>
                </c:pt>
                <c:pt idx="353">
                  <c:v>29</c:v>
                </c:pt>
                <c:pt idx="354">
                  <c:v>55</c:v>
                </c:pt>
                <c:pt idx="355">
                  <c:v>28</c:v>
                </c:pt>
                <c:pt idx="356">
                  <c:v>43</c:v>
                </c:pt>
                <c:pt idx="357">
                  <c:v>32</c:v>
                </c:pt>
                <c:pt idx="358">
                  <c:v>24</c:v>
                </c:pt>
                <c:pt idx="359">
                  <c:v>52</c:v>
                </c:pt>
                <c:pt idx="360">
                  <c:v>64</c:v>
                </c:pt>
                <c:pt idx="361">
                  <c:v>35</c:v>
                </c:pt>
                <c:pt idx="362">
                  <c:v>32</c:v>
                </c:pt>
                <c:pt idx="363">
                  <c:v>61</c:v>
                </c:pt>
                <c:pt idx="364">
                  <c:v>18</c:v>
                </c:pt>
                <c:pt idx="365">
                  <c:v>43</c:v>
                </c:pt>
                <c:pt idx="366">
                  <c:v>61</c:v>
                </c:pt>
                <c:pt idx="367">
                  <c:v>26</c:v>
                </c:pt>
                <c:pt idx="368">
                  <c:v>37</c:v>
                </c:pt>
                <c:pt idx="369">
                  <c:v>29</c:v>
                </c:pt>
                <c:pt idx="370">
                  <c:v>57</c:v>
                </c:pt>
                <c:pt idx="371">
                  <c:v>49</c:v>
                </c:pt>
                <c:pt idx="372">
                  <c:v>32</c:v>
                </c:pt>
                <c:pt idx="373">
                  <c:v>20</c:v>
                </c:pt>
                <c:pt idx="374">
                  <c:v>54</c:v>
                </c:pt>
                <c:pt idx="375">
                  <c:v>33</c:v>
                </c:pt>
                <c:pt idx="376">
                  <c:v>64</c:v>
                </c:pt>
                <c:pt idx="377">
                  <c:v>22</c:v>
                </c:pt>
                <c:pt idx="378">
                  <c:v>57</c:v>
                </c:pt>
                <c:pt idx="379">
                  <c:v>53</c:v>
                </c:pt>
                <c:pt idx="380">
                  <c:v>35</c:v>
                </c:pt>
                <c:pt idx="381">
                  <c:v>23</c:v>
                </c:pt>
                <c:pt idx="382">
                  <c:v>40</c:v>
                </c:pt>
                <c:pt idx="383">
                  <c:v>53</c:v>
                </c:pt>
                <c:pt idx="384">
                  <c:v>34</c:v>
                </c:pt>
                <c:pt idx="385">
                  <c:v>18</c:v>
                </c:pt>
                <c:pt idx="386">
                  <c:v>39</c:v>
                </c:pt>
                <c:pt idx="387">
                  <c:v>64</c:v>
                </c:pt>
                <c:pt idx="388">
                  <c:v>52</c:v>
                </c:pt>
                <c:pt idx="389">
                  <c:v>20</c:v>
                </c:pt>
                <c:pt idx="390">
                  <c:v>37</c:v>
                </c:pt>
                <c:pt idx="391">
                  <c:v>24</c:v>
                </c:pt>
                <c:pt idx="392">
                  <c:v>27</c:v>
                </c:pt>
                <c:pt idx="393">
                  <c:v>47</c:v>
                </c:pt>
                <c:pt idx="394">
                  <c:v>53</c:v>
                </c:pt>
                <c:pt idx="395">
                  <c:v>35</c:v>
                </c:pt>
                <c:pt idx="396">
                  <c:v>58</c:v>
                </c:pt>
                <c:pt idx="397">
                  <c:v>63</c:v>
                </c:pt>
                <c:pt idx="399">
                  <c:v>28</c:v>
                </c:pt>
                <c:pt idx="400">
                  <c:v>40</c:v>
                </c:pt>
                <c:pt idx="401">
                  <c:v>25</c:v>
                </c:pt>
                <c:pt idx="402">
                  <c:v>53</c:v>
                </c:pt>
                <c:pt idx="403">
                  <c:v>37</c:v>
                </c:pt>
                <c:pt idx="404">
                  <c:v>46</c:v>
                </c:pt>
                <c:pt idx="405">
                  <c:v>48</c:v>
                </c:pt>
                <c:pt idx="406">
                  <c:v>64</c:v>
                </c:pt>
                <c:pt idx="407">
                  <c:v>64</c:v>
                </c:pt>
                <c:pt idx="408">
                  <c:v>32</c:v>
                </c:pt>
                <c:pt idx="409">
                  <c:v>58</c:v>
                </c:pt>
                <c:pt idx="410">
                  <c:v>24</c:v>
                </c:pt>
                <c:pt idx="411">
                  <c:v>58</c:v>
                </c:pt>
                <c:pt idx="412">
                  <c:v>33</c:v>
                </c:pt>
                <c:pt idx="413">
                  <c:v>46</c:v>
                </c:pt>
                <c:pt idx="414">
                  <c:v>62</c:v>
                </c:pt>
                <c:pt idx="415">
                  <c:v>56</c:v>
                </c:pt>
                <c:pt idx="416">
                  <c:v>29</c:v>
                </c:pt>
                <c:pt idx="417">
                  <c:v>52</c:v>
                </c:pt>
                <c:pt idx="418">
                  <c:v>51</c:v>
                </c:pt>
                <c:pt idx="419">
                  <c:v>39</c:v>
                </c:pt>
                <c:pt idx="420">
                  <c:v>24</c:v>
                </c:pt>
                <c:pt idx="421">
                  <c:v>58</c:v>
                </c:pt>
                <c:pt idx="422">
                  <c:v>31</c:v>
                </c:pt>
                <c:pt idx="423">
                  <c:v>46</c:v>
                </c:pt>
                <c:pt idx="424">
                  <c:v>65</c:v>
                </c:pt>
                <c:pt idx="425">
                  <c:v>32</c:v>
                </c:pt>
                <c:pt idx="426">
                  <c:v>19</c:v>
                </c:pt>
                <c:pt idx="427">
                  <c:v>49</c:v>
                </c:pt>
                <c:pt idx="428">
                  <c:v>21</c:v>
                </c:pt>
                <c:pt idx="429">
                  <c:v>28</c:v>
                </c:pt>
                <c:pt idx="430">
                  <c:v>28</c:v>
                </c:pt>
                <c:pt idx="431">
                  <c:v>45</c:v>
                </c:pt>
                <c:pt idx="432">
                  <c:v>33</c:v>
                </c:pt>
                <c:pt idx="433">
                  <c:v>28</c:v>
                </c:pt>
                <c:pt idx="434">
                  <c:v>33</c:v>
                </c:pt>
                <c:pt idx="435">
                  <c:v>19</c:v>
                </c:pt>
                <c:pt idx="436">
                  <c:v>43</c:v>
                </c:pt>
                <c:pt idx="437">
                  <c:v>34</c:v>
                </c:pt>
                <c:pt idx="438">
                  <c:v>49</c:v>
                </c:pt>
                <c:pt idx="439">
                  <c:v>30</c:v>
                </c:pt>
                <c:pt idx="440">
                  <c:v>21</c:v>
                </c:pt>
                <c:pt idx="441">
                  <c:v>22</c:v>
                </c:pt>
                <c:pt idx="442">
                  <c:v>47</c:v>
                </c:pt>
                <c:pt idx="443">
                  <c:v>34</c:v>
                </c:pt>
                <c:pt idx="444">
                  <c:v>45</c:v>
                </c:pt>
                <c:pt idx="445">
                  <c:v>49</c:v>
                </c:pt>
                <c:pt idx="446">
                  <c:v>45</c:v>
                </c:pt>
                <c:pt idx="447">
                  <c:v>30</c:v>
                </c:pt>
                <c:pt idx="449">
                  <c:v>27</c:v>
                </c:pt>
                <c:pt idx="450">
                  <c:v>27</c:v>
                </c:pt>
                <c:pt idx="451">
                  <c:v>39</c:v>
                </c:pt>
                <c:pt idx="452">
                  <c:v>57</c:v>
                </c:pt>
                <c:pt idx="453">
                  <c:v>21</c:v>
                </c:pt>
                <c:pt idx="454">
                  <c:v>46</c:v>
                </c:pt>
                <c:pt idx="455">
                  <c:v>45</c:v>
                </c:pt>
                <c:pt idx="456">
                  <c:v>22</c:v>
                </c:pt>
                <c:pt idx="457">
                  <c:v>38</c:v>
                </c:pt>
                <c:pt idx="458">
                  <c:v>50</c:v>
                </c:pt>
                <c:pt idx="459">
                  <c:v>48</c:v>
                </c:pt>
                <c:pt idx="460">
                  <c:v>38</c:v>
                </c:pt>
                <c:pt idx="461">
                  <c:v>43</c:v>
                </c:pt>
                <c:pt idx="462">
                  <c:v>46</c:v>
                </c:pt>
                <c:pt idx="463">
                  <c:v>65</c:v>
                </c:pt>
                <c:pt idx="464">
                  <c:v>30</c:v>
                </c:pt>
                <c:pt idx="465">
                  <c:v>55</c:v>
                </c:pt>
                <c:pt idx="466">
                  <c:v>20</c:v>
                </c:pt>
                <c:pt idx="467">
                  <c:v>30</c:v>
                </c:pt>
                <c:pt idx="468">
                  <c:v>51</c:v>
                </c:pt>
                <c:pt idx="469">
                  <c:v>56</c:v>
                </c:pt>
                <c:pt idx="470">
                  <c:v>62</c:v>
                </c:pt>
                <c:pt idx="471">
                  <c:v>21</c:v>
                </c:pt>
                <c:pt idx="472">
                  <c:v>57</c:v>
                </c:pt>
                <c:pt idx="473">
                  <c:v>63</c:v>
                </c:pt>
                <c:pt idx="474">
                  <c:v>48</c:v>
                </c:pt>
                <c:pt idx="475">
                  <c:v>22</c:v>
                </c:pt>
                <c:pt idx="476">
                  <c:v>46</c:v>
                </c:pt>
                <c:pt idx="477">
                  <c:v>30</c:v>
                </c:pt>
                <c:pt idx="478">
                  <c:v>64</c:v>
                </c:pt>
                <c:pt idx="479">
                  <c:v>47</c:v>
                </c:pt>
                <c:pt idx="480">
                  <c:v>56</c:v>
                </c:pt>
                <c:pt idx="481">
                  <c:v>52</c:v>
                </c:pt>
                <c:pt idx="482">
                  <c:v>28</c:v>
                </c:pt>
                <c:pt idx="483">
                  <c:v>39</c:v>
                </c:pt>
                <c:pt idx="484">
                  <c:v>26</c:v>
                </c:pt>
                <c:pt idx="485">
                  <c:v>27</c:v>
                </c:pt>
                <c:pt idx="486">
                  <c:v>53</c:v>
                </c:pt>
                <c:pt idx="487">
                  <c:v>41</c:v>
                </c:pt>
                <c:pt idx="488">
                  <c:v>41</c:v>
                </c:pt>
                <c:pt idx="489">
                  <c:v>29</c:v>
                </c:pt>
                <c:pt idx="490">
                  <c:v>52</c:v>
                </c:pt>
                <c:pt idx="491">
                  <c:v>63</c:v>
                </c:pt>
                <c:pt idx="492">
                  <c:v>47</c:v>
                </c:pt>
                <c:pt idx="493">
                  <c:v>26</c:v>
                </c:pt>
                <c:pt idx="494">
                  <c:v>55</c:v>
                </c:pt>
                <c:pt idx="495">
                  <c:v>51</c:v>
                </c:pt>
                <c:pt idx="496">
                  <c:v>45</c:v>
                </c:pt>
                <c:pt idx="497">
                  <c:v>44</c:v>
                </c:pt>
                <c:pt idx="499">
                  <c:v>30</c:v>
                </c:pt>
                <c:pt idx="500">
                  <c:v>52</c:v>
                </c:pt>
                <c:pt idx="501">
                  <c:v>31</c:v>
                </c:pt>
                <c:pt idx="502">
                  <c:v>52</c:v>
                </c:pt>
                <c:pt idx="503">
                  <c:v>61</c:v>
                </c:pt>
                <c:pt idx="504">
                  <c:v>32</c:v>
                </c:pt>
                <c:pt idx="505">
                  <c:v>44</c:v>
                </c:pt>
                <c:pt idx="506">
                  <c:v>47</c:v>
                </c:pt>
                <c:pt idx="507">
                  <c:v>44</c:v>
                </c:pt>
                <c:pt idx="508">
                  <c:v>58</c:v>
                </c:pt>
                <c:pt idx="509">
                  <c:v>27</c:v>
                </c:pt>
                <c:pt idx="510">
                  <c:v>24</c:v>
                </c:pt>
                <c:pt idx="511">
                  <c:v>50</c:v>
                </c:pt>
                <c:pt idx="512">
                  <c:v>30</c:v>
                </c:pt>
                <c:pt idx="513">
                  <c:v>41</c:v>
                </c:pt>
                <c:pt idx="514">
                  <c:v>37</c:v>
                </c:pt>
                <c:pt idx="515">
                  <c:v>34</c:v>
                </c:pt>
                <c:pt idx="516">
                  <c:v>35</c:v>
                </c:pt>
                <c:pt idx="517">
                  <c:v>65</c:v>
                </c:pt>
                <c:pt idx="518">
                  <c:v>31</c:v>
                </c:pt>
                <c:pt idx="519">
                  <c:v>47</c:v>
                </c:pt>
                <c:pt idx="520">
                  <c:v>37</c:v>
                </c:pt>
                <c:pt idx="521">
                  <c:v>62</c:v>
                </c:pt>
                <c:pt idx="522">
                  <c:v>39</c:v>
                </c:pt>
                <c:pt idx="523">
                  <c:v>45</c:v>
                </c:pt>
                <c:pt idx="524">
                  <c:v>54</c:v>
                </c:pt>
                <c:pt idx="525">
                  <c:v>22</c:v>
                </c:pt>
                <c:pt idx="526">
                  <c:v>41</c:v>
                </c:pt>
                <c:pt idx="527">
                  <c:v>26</c:v>
                </c:pt>
                <c:pt idx="528">
                  <c:v>42</c:v>
                </c:pt>
                <c:pt idx="529">
                  <c:v>65</c:v>
                </c:pt>
                <c:pt idx="530">
                  <c:v>45</c:v>
                </c:pt>
                <c:pt idx="531">
                  <c:v>18</c:v>
                </c:pt>
                <c:pt idx="532">
                  <c:v>35</c:v>
                </c:pt>
                <c:pt idx="533">
                  <c:v>22</c:v>
                </c:pt>
                <c:pt idx="534">
                  <c:v>57</c:v>
                </c:pt>
                <c:pt idx="535">
                  <c:v>37</c:v>
                </c:pt>
                <c:pt idx="536">
                  <c:v>56</c:v>
                </c:pt>
                <c:pt idx="537">
                  <c:v>28</c:v>
                </c:pt>
                <c:pt idx="538">
                  <c:v>28</c:v>
                </c:pt>
                <c:pt idx="539">
                  <c:v>20</c:v>
                </c:pt>
                <c:pt idx="540">
                  <c:v>26</c:v>
                </c:pt>
                <c:pt idx="541">
                  <c:v>27</c:v>
                </c:pt>
                <c:pt idx="542">
                  <c:v>33</c:v>
                </c:pt>
                <c:pt idx="543">
                  <c:v>20</c:v>
                </c:pt>
                <c:pt idx="544">
                  <c:v>31</c:v>
                </c:pt>
                <c:pt idx="545">
                  <c:v>38</c:v>
                </c:pt>
                <c:pt idx="546">
                  <c:v>37</c:v>
                </c:pt>
                <c:pt idx="547">
                  <c:v>64</c:v>
                </c:pt>
                <c:pt idx="549">
                  <c:v>37</c:v>
                </c:pt>
                <c:pt idx="550">
                  <c:v>60</c:v>
                </c:pt>
                <c:pt idx="551">
                  <c:v>36</c:v>
                </c:pt>
                <c:pt idx="552">
                  <c:v>35</c:v>
                </c:pt>
                <c:pt idx="553">
                  <c:v>60</c:v>
                </c:pt>
                <c:pt idx="554">
                  <c:v>21</c:v>
                </c:pt>
                <c:pt idx="555">
                  <c:v>18</c:v>
                </c:pt>
                <c:pt idx="556">
                  <c:v>35</c:v>
                </c:pt>
                <c:pt idx="557">
                  <c:v>22</c:v>
                </c:pt>
                <c:pt idx="558">
                  <c:v>21</c:v>
                </c:pt>
                <c:pt idx="559">
                  <c:v>34</c:v>
                </c:pt>
                <c:pt idx="560">
                  <c:v>56</c:v>
                </c:pt>
                <c:pt idx="561">
                  <c:v>46</c:v>
                </c:pt>
                <c:pt idx="562">
                  <c:v>56</c:v>
                </c:pt>
                <c:pt idx="563">
                  <c:v>40</c:v>
                </c:pt>
                <c:pt idx="564">
                  <c:v>63</c:v>
                </c:pt>
                <c:pt idx="565">
                  <c:v>60</c:v>
                </c:pt>
                <c:pt idx="566">
                  <c:v>41</c:v>
                </c:pt>
                <c:pt idx="567">
                  <c:v>21</c:v>
                </c:pt>
                <c:pt idx="568">
                  <c:v>32</c:v>
                </c:pt>
                <c:pt idx="569">
                  <c:v>52</c:v>
                </c:pt>
                <c:pt idx="570">
                  <c:v>48</c:v>
                </c:pt>
                <c:pt idx="571">
                  <c:v>62</c:v>
                </c:pt>
                <c:pt idx="572">
                  <c:v>28</c:v>
                </c:pt>
                <c:pt idx="573">
                  <c:v>38</c:v>
                </c:pt>
                <c:pt idx="574">
                  <c:v>39</c:v>
                </c:pt>
                <c:pt idx="575">
                  <c:v>24</c:v>
                </c:pt>
                <c:pt idx="576">
                  <c:v>26</c:v>
                </c:pt>
                <c:pt idx="577">
                  <c:v>38</c:v>
                </c:pt>
                <c:pt idx="578">
                  <c:v>31</c:v>
                </c:pt>
                <c:pt idx="579">
                  <c:v>49</c:v>
                </c:pt>
                <c:pt idx="580">
                  <c:v>39</c:v>
                </c:pt>
                <c:pt idx="581">
                  <c:v>59</c:v>
                </c:pt>
                <c:pt idx="582">
                  <c:v>40</c:v>
                </c:pt>
                <c:pt idx="583">
                  <c:v>62</c:v>
                </c:pt>
                <c:pt idx="584">
                  <c:v>20</c:v>
                </c:pt>
                <c:pt idx="585">
                  <c:v>25</c:v>
                </c:pt>
                <c:pt idx="586">
                  <c:v>42</c:v>
                </c:pt>
                <c:pt idx="587">
                  <c:v>49</c:v>
                </c:pt>
                <c:pt idx="588">
                  <c:v>44</c:v>
                </c:pt>
                <c:pt idx="589">
                  <c:v>61</c:v>
                </c:pt>
                <c:pt idx="590">
                  <c:v>51</c:v>
                </c:pt>
                <c:pt idx="591">
                  <c:v>43</c:v>
                </c:pt>
                <c:pt idx="592">
                  <c:v>49</c:v>
                </c:pt>
                <c:pt idx="593">
                  <c:v>24</c:v>
                </c:pt>
                <c:pt idx="594">
                  <c:v>30</c:v>
                </c:pt>
                <c:pt idx="595">
                  <c:v>52</c:v>
                </c:pt>
                <c:pt idx="596">
                  <c:v>55</c:v>
                </c:pt>
                <c:pt idx="597">
                  <c:v>21</c:v>
                </c:pt>
                <c:pt idx="599">
                  <c:v>61</c:v>
                </c:pt>
                <c:pt idx="600">
                  <c:v>54</c:v>
                </c:pt>
                <c:pt idx="601">
                  <c:v>39</c:v>
                </c:pt>
                <c:pt idx="602">
                  <c:v>31</c:v>
                </c:pt>
                <c:pt idx="603">
                  <c:v>63</c:v>
                </c:pt>
                <c:pt idx="604">
                  <c:v>56</c:v>
                </c:pt>
                <c:pt idx="605">
                  <c:v>27</c:v>
                </c:pt>
                <c:pt idx="606">
                  <c:v>34</c:v>
                </c:pt>
                <c:pt idx="607">
                  <c:v>19</c:v>
                </c:pt>
                <c:pt idx="608">
                  <c:v>48</c:v>
                </c:pt>
                <c:pt idx="609">
                  <c:v>37</c:v>
                </c:pt>
                <c:pt idx="610">
                  <c:v>39</c:v>
                </c:pt>
                <c:pt idx="611">
                  <c:v>23</c:v>
                </c:pt>
                <c:pt idx="612">
                  <c:v>39</c:v>
                </c:pt>
                <c:pt idx="613">
                  <c:v>31</c:v>
                </c:pt>
                <c:pt idx="614">
                  <c:v>36</c:v>
                </c:pt>
                <c:pt idx="615">
                  <c:v>41</c:v>
                </c:pt>
                <c:pt idx="616">
                  <c:v>33</c:v>
                </c:pt>
                <c:pt idx="617">
                  <c:v>41</c:v>
                </c:pt>
                <c:pt idx="618">
                  <c:v>47</c:v>
                </c:pt>
                <c:pt idx="619">
                  <c:v>61</c:v>
                </c:pt>
                <c:pt idx="620">
                  <c:v>57</c:v>
                </c:pt>
                <c:pt idx="621">
                  <c:v>62</c:v>
                </c:pt>
                <c:pt idx="622">
                  <c:v>54</c:v>
                </c:pt>
                <c:pt idx="623">
                  <c:v>46</c:v>
                </c:pt>
                <c:pt idx="624">
                  <c:v>30</c:v>
                </c:pt>
                <c:pt idx="625">
                  <c:v>20</c:v>
                </c:pt>
                <c:pt idx="626">
                  <c:v>38</c:v>
                </c:pt>
                <c:pt idx="627">
                  <c:v>62</c:v>
                </c:pt>
                <c:pt idx="628">
                  <c:v>41</c:v>
                </c:pt>
                <c:pt idx="629">
                  <c:v>34</c:v>
                </c:pt>
                <c:pt idx="630">
                  <c:v>24</c:v>
                </c:pt>
                <c:pt idx="631">
                  <c:v>27</c:v>
                </c:pt>
                <c:pt idx="632">
                  <c:v>37</c:v>
                </c:pt>
                <c:pt idx="633">
                  <c:v>58</c:v>
                </c:pt>
                <c:pt idx="634">
                  <c:v>18</c:v>
                </c:pt>
                <c:pt idx="635">
                  <c:v>31</c:v>
                </c:pt>
                <c:pt idx="636">
                  <c:v>19</c:v>
                </c:pt>
                <c:pt idx="637">
                  <c:v>46</c:v>
                </c:pt>
                <c:pt idx="638">
                  <c:v>22</c:v>
                </c:pt>
                <c:pt idx="639">
                  <c:v>32</c:v>
                </c:pt>
                <c:pt idx="640">
                  <c:v>28</c:v>
                </c:pt>
                <c:pt idx="641">
                  <c:v>63</c:v>
                </c:pt>
                <c:pt idx="642">
                  <c:v>30</c:v>
                </c:pt>
                <c:pt idx="643">
                  <c:v>53</c:v>
                </c:pt>
                <c:pt idx="644">
                  <c:v>42</c:v>
                </c:pt>
                <c:pt idx="645">
                  <c:v>52</c:v>
                </c:pt>
                <c:pt idx="646">
                  <c:v>62</c:v>
                </c:pt>
                <c:pt idx="647">
                  <c:v>53</c:v>
                </c:pt>
                <c:pt idx="649">
                  <c:v>59</c:v>
                </c:pt>
                <c:pt idx="650">
                  <c:v>30</c:v>
                </c:pt>
                <c:pt idx="651">
                  <c:v>21</c:v>
                </c:pt>
                <c:pt idx="652">
                  <c:v>39</c:v>
                </c:pt>
                <c:pt idx="653">
                  <c:v>55</c:v>
                </c:pt>
                <c:pt idx="654">
                  <c:v>21</c:v>
                </c:pt>
                <c:pt idx="655">
                  <c:v>54</c:v>
                </c:pt>
                <c:pt idx="656">
                  <c:v>18</c:v>
                </c:pt>
                <c:pt idx="657">
                  <c:v>63</c:v>
                </c:pt>
                <c:pt idx="658">
                  <c:v>20</c:v>
                </c:pt>
                <c:pt idx="659">
                  <c:v>23</c:v>
                </c:pt>
                <c:pt idx="660">
                  <c:v>44</c:v>
                </c:pt>
                <c:pt idx="661">
                  <c:v>18</c:v>
                </c:pt>
                <c:pt idx="662">
                  <c:v>33</c:v>
                </c:pt>
                <c:pt idx="663">
                  <c:v>27</c:v>
                </c:pt>
                <c:pt idx="664">
                  <c:v>48</c:v>
                </c:pt>
                <c:pt idx="665">
                  <c:v>39</c:v>
                </c:pt>
                <c:pt idx="666">
                  <c:v>59</c:v>
                </c:pt>
                <c:pt idx="667">
                  <c:v>20</c:v>
                </c:pt>
                <c:pt idx="668">
                  <c:v>60</c:v>
                </c:pt>
                <c:pt idx="669">
                  <c:v>60</c:v>
                </c:pt>
                <c:pt idx="670">
                  <c:v>37</c:v>
                </c:pt>
                <c:pt idx="671">
                  <c:v>57</c:v>
                </c:pt>
                <c:pt idx="672">
                  <c:v>55</c:v>
                </c:pt>
                <c:pt idx="673">
                  <c:v>47</c:v>
                </c:pt>
                <c:pt idx="674">
                  <c:v>47</c:v>
                </c:pt>
                <c:pt idx="675">
                  <c:v>31</c:v>
                </c:pt>
                <c:pt idx="676">
                  <c:v>35</c:v>
                </c:pt>
                <c:pt idx="677">
                  <c:v>57</c:v>
                </c:pt>
                <c:pt idx="678">
                  <c:v>23</c:v>
                </c:pt>
                <c:pt idx="679">
                  <c:v>21</c:v>
                </c:pt>
                <c:pt idx="680">
                  <c:v>30</c:v>
                </c:pt>
                <c:pt idx="681">
                  <c:v>64</c:v>
                </c:pt>
                <c:pt idx="682">
                  <c:v>57</c:v>
                </c:pt>
                <c:pt idx="683">
                  <c:v>53</c:v>
                </c:pt>
                <c:pt idx="684">
                  <c:v>47</c:v>
                </c:pt>
                <c:pt idx="685">
                  <c:v>38</c:v>
                </c:pt>
                <c:pt idx="686">
                  <c:v>29</c:v>
                </c:pt>
                <c:pt idx="687">
                  <c:v>56</c:v>
                </c:pt>
                <c:pt idx="688">
                  <c:v>59</c:v>
                </c:pt>
                <c:pt idx="689">
                  <c:v>22</c:v>
                </c:pt>
                <c:pt idx="690">
                  <c:v>47</c:v>
                </c:pt>
                <c:pt idx="691">
                  <c:v>30</c:v>
                </c:pt>
                <c:pt idx="692">
                  <c:v>30</c:v>
                </c:pt>
                <c:pt idx="693">
                  <c:v>26</c:v>
                </c:pt>
                <c:pt idx="694">
                  <c:v>62</c:v>
                </c:pt>
                <c:pt idx="695">
                  <c:v>51</c:v>
                </c:pt>
                <c:pt idx="696">
                  <c:v>54</c:v>
                </c:pt>
                <c:pt idx="697">
                  <c:v>24</c:v>
                </c:pt>
                <c:pt idx="699">
                  <c:v>22</c:v>
                </c:pt>
                <c:pt idx="700">
                  <c:v>30</c:v>
                </c:pt>
                <c:pt idx="701">
                  <c:v>38</c:v>
                </c:pt>
                <c:pt idx="702">
                  <c:v>38</c:v>
                </c:pt>
                <c:pt idx="703">
                  <c:v>19</c:v>
                </c:pt>
                <c:pt idx="704">
                  <c:v>43</c:v>
                </c:pt>
                <c:pt idx="705">
                  <c:v>60</c:v>
                </c:pt>
                <c:pt idx="706">
                  <c:v>21</c:v>
                </c:pt>
                <c:pt idx="707">
                  <c:v>28</c:v>
                </c:pt>
                <c:pt idx="708">
                  <c:v>51</c:v>
                </c:pt>
                <c:pt idx="709">
                  <c:v>20</c:v>
                </c:pt>
                <c:pt idx="710">
                  <c:v>55</c:v>
                </c:pt>
                <c:pt idx="711">
                  <c:v>45</c:v>
                </c:pt>
                <c:pt idx="712">
                  <c:v>30</c:v>
                </c:pt>
                <c:pt idx="713">
                  <c:v>23</c:v>
                </c:pt>
                <c:pt idx="714">
                  <c:v>51</c:v>
                </c:pt>
                <c:pt idx="715">
                  <c:v>38</c:v>
                </c:pt>
                <c:pt idx="716">
                  <c:v>52</c:v>
                </c:pt>
                <c:pt idx="717">
                  <c:v>26</c:v>
                </c:pt>
                <c:pt idx="718">
                  <c:v>31</c:v>
                </c:pt>
                <c:pt idx="719">
                  <c:v>37</c:v>
                </c:pt>
                <c:pt idx="720">
                  <c:v>28</c:v>
                </c:pt>
                <c:pt idx="721">
                  <c:v>58</c:v>
                </c:pt>
                <c:pt idx="722">
                  <c:v>47</c:v>
                </c:pt>
                <c:pt idx="723">
                  <c:v>37</c:v>
                </c:pt>
                <c:pt idx="724">
                  <c:v>38</c:v>
                </c:pt>
                <c:pt idx="725">
                  <c:v>27</c:v>
                </c:pt>
                <c:pt idx="726">
                  <c:v>37</c:v>
                </c:pt>
                <c:pt idx="727">
                  <c:v>58</c:v>
                </c:pt>
                <c:pt idx="728">
                  <c:v>44</c:v>
                </c:pt>
                <c:pt idx="729">
                  <c:v>22</c:v>
                </c:pt>
                <c:pt idx="730">
                  <c:v>64</c:v>
                </c:pt>
                <c:pt idx="731">
                  <c:v>22</c:v>
                </c:pt>
                <c:pt idx="732">
                  <c:v>28</c:v>
                </c:pt>
                <c:pt idx="733">
                  <c:v>28</c:v>
                </c:pt>
                <c:pt idx="734">
                  <c:v>32</c:v>
                </c:pt>
                <c:pt idx="735">
                  <c:v>53</c:v>
                </c:pt>
                <c:pt idx="736">
                  <c:v>24</c:v>
                </c:pt>
                <c:pt idx="737">
                  <c:v>61</c:v>
                </c:pt>
                <c:pt idx="738">
                  <c:v>49</c:v>
                </c:pt>
                <c:pt idx="739">
                  <c:v>64</c:v>
                </c:pt>
                <c:pt idx="740">
                  <c:v>33</c:v>
                </c:pt>
                <c:pt idx="741">
                  <c:v>42</c:v>
                </c:pt>
                <c:pt idx="742">
                  <c:v>29</c:v>
                </c:pt>
                <c:pt idx="743">
                  <c:v>22</c:v>
                </c:pt>
                <c:pt idx="744">
                  <c:v>22</c:v>
                </c:pt>
                <c:pt idx="745">
                  <c:v>55</c:v>
                </c:pt>
                <c:pt idx="746">
                  <c:v>57</c:v>
                </c:pt>
                <c:pt idx="747">
                  <c:v>22</c:v>
                </c:pt>
                <c:pt idx="749">
                  <c:v>60</c:v>
                </c:pt>
                <c:pt idx="750">
                  <c:v>27</c:v>
                </c:pt>
                <c:pt idx="751">
                  <c:v>33</c:v>
                </c:pt>
                <c:pt idx="752">
                  <c:v>40</c:v>
                </c:pt>
                <c:pt idx="753">
                  <c:v>60</c:v>
                </c:pt>
                <c:pt idx="754">
                  <c:v>59</c:v>
                </c:pt>
                <c:pt idx="755">
                  <c:v>29</c:v>
                </c:pt>
                <c:pt idx="756">
                  <c:v>21</c:v>
                </c:pt>
                <c:pt idx="757">
                  <c:v>21</c:v>
                </c:pt>
                <c:pt idx="758">
                  <c:v>61</c:v>
                </c:pt>
                <c:pt idx="759">
                  <c:v>59</c:v>
                </c:pt>
                <c:pt idx="760">
                  <c:v>48</c:v>
                </c:pt>
                <c:pt idx="761">
                  <c:v>56</c:v>
                </c:pt>
                <c:pt idx="762">
                  <c:v>32</c:v>
                </c:pt>
                <c:pt idx="763">
                  <c:v>61</c:v>
                </c:pt>
                <c:pt idx="764">
                  <c:v>43</c:v>
                </c:pt>
                <c:pt idx="765">
                  <c:v>43</c:v>
                </c:pt>
                <c:pt idx="766">
                  <c:v>30</c:v>
                </c:pt>
                <c:pt idx="767">
                  <c:v>23</c:v>
                </c:pt>
                <c:pt idx="768">
                  <c:v>27</c:v>
                </c:pt>
                <c:pt idx="769">
                  <c:v>29</c:v>
                </c:pt>
                <c:pt idx="770">
                  <c:v>65</c:v>
                </c:pt>
                <c:pt idx="771">
                  <c:v>60</c:v>
                </c:pt>
                <c:pt idx="772">
                  <c:v>43</c:v>
                </c:pt>
                <c:pt idx="773">
                  <c:v>38</c:v>
                </c:pt>
                <c:pt idx="774">
                  <c:v>32</c:v>
                </c:pt>
                <c:pt idx="775">
                  <c:v>45</c:v>
                </c:pt>
                <c:pt idx="776">
                  <c:v>57</c:v>
                </c:pt>
                <c:pt idx="777">
                  <c:v>38</c:v>
                </c:pt>
                <c:pt idx="778">
                  <c:v>56</c:v>
                </c:pt>
                <c:pt idx="779">
                  <c:v>51</c:v>
                </c:pt>
                <c:pt idx="780">
                  <c:v>38</c:v>
                </c:pt>
                <c:pt idx="781">
                  <c:v>65</c:v>
                </c:pt>
                <c:pt idx="782">
                  <c:v>43</c:v>
                </c:pt>
                <c:pt idx="783">
                  <c:v>50</c:v>
                </c:pt>
                <c:pt idx="784">
                  <c:v>60</c:v>
                </c:pt>
                <c:pt idx="785">
                  <c:v>50</c:v>
                </c:pt>
                <c:pt idx="786">
                  <c:v>59</c:v>
                </c:pt>
                <c:pt idx="787">
                  <c:v>63</c:v>
                </c:pt>
                <c:pt idx="788">
                  <c:v>55</c:v>
                </c:pt>
                <c:pt idx="789">
                  <c:v>45</c:v>
                </c:pt>
                <c:pt idx="790">
                  <c:v>62</c:v>
                </c:pt>
                <c:pt idx="791">
                  <c:v>21</c:v>
                </c:pt>
                <c:pt idx="792">
                  <c:v>21</c:v>
                </c:pt>
                <c:pt idx="793">
                  <c:v>19</c:v>
                </c:pt>
                <c:pt idx="794">
                  <c:v>57</c:v>
                </c:pt>
                <c:pt idx="795">
                  <c:v>48</c:v>
                </c:pt>
                <c:pt idx="796">
                  <c:v>62</c:v>
                </c:pt>
                <c:pt idx="797">
                  <c:v>51</c:v>
                </c:pt>
                <c:pt idx="799">
                  <c:v>47</c:v>
                </c:pt>
                <c:pt idx="800">
                  <c:v>29</c:v>
                </c:pt>
                <c:pt idx="801">
                  <c:v>30</c:v>
                </c:pt>
                <c:pt idx="802">
                  <c:v>32</c:v>
                </c:pt>
                <c:pt idx="803">
                  <c:v>57</c:v>
                </c:pt>
                <c:pt idx="804">
                  <c:v>50</c:v>
                </c:pt>
                <c:pt idx="805">
                  <c:v>62</c:v>
                </c:pt>
                <c:pt idx="806">
                  <c:v>28</c:v>
                </c:pt>
                <c:pt idx="807">
                  <c:v>60</c:v>
                </c:pt>
                <c:pt idx="808">
                  <c:v>52</c:v>
                </c:pt>
                <c:pt idx="809">
                  <c:v>30</c:v>
                </c:pt>
                <c:pt idx="810">
                  <c:v>50</c:v>
                </c:pt>
                <c:pt idx="811">
                  <c:v>50</c:v>
                </c:pt>
                <c:pt idx="812">
                  <c:v>40</c:v>
                </c:pt>
                <c:pt idx="813">
                  <c:v>52</c:v>
                </c:pt>
                <c:pt idx="814">
                  <c:v>44</c:v>
                </c:pt>
                <c:pt idx="815">
                  <c:v>23</c:v>
                </c:pt>
                <c:pt idx="816">
                  <c:v>49</c:v>
                </c:pt>
                <c:pt idx="817">
                  <c:v>28</c:v>
                </c:pt>
                <c:pt idx="818">
                  <c:v>60</c:v>
                </c:pt>
                <c:pt idx="819">
                  <c:v>45</c:v>
                </c:pt>
                <c:pt idx="820">
                  <c:v>37</c:v>
                </c:pt>
                <c:pt idx="821">
                  <c:v>20</c:v>
                </c:pt>
                <c:pt idx="822">
                  <c:v>64</c:v>
                </c:pt>
                <c:pt idx="823">
                  <c:v>57</c:v>
                </c:pt>
                <c:pt idx="824">
                  <c:v>24</c:v>
                </c:pt>
                <c:pt idx="825">
                  <c:v>42</c:v>
                </c:pt>
                <c:pt idx="826">
                  <c:v>33</c:v>
                </c:pt>
                <c:pt idx="827">
                  <c:v>44</c:v>
                </c:pt>
                <c:pt idx="828">
                  <c:v>19</c:v>
                </c:pt>
                <c:pt idx="829">
                  <c:v>53</c:v>
                </c:pt>
                <c:pt idx="830">
                  <c:v>30</c:v>
                </c:pt>
                <c:pt idx="831">
                  <c:v>20</c:v>
                </c:pt>
                <c:pt idx="832">
                  <c:v>51</c:v>
                </c:pt>
                <c:pt idx="833">
                  <c:v>62</c:v>
                </c:pt>
                <c:pt idx="834">
                  <c:v>23</c:v>
                </c:pt>
                <c:pt idx="835">
                  <c:v>26</c:v>
                </c:pt>
                <c:pt idx="836">
                  <c:v>44</c:v>
                </c:pt>
                <c:pt idx="837">
                  <c:v>47</c:v>
                </c:pt>
                <c:pt idx="838">
                  <c:v>35</c:v>
                </c:pt>
                <c:pt idx="839">
                  <c:v>26</c:v>
                </c:pt>
                <c:pt idx="840">
                  <c:v>43</c:v>
                </c:pt>
                <c:pt idx="841">
                  <c:v>42</c:v>
                </c:pt>
                <c:pt idx="842">
                  <c:v>32</c:v>
                </c:pt>
                <c:pt idx="843">
                  <c:v>42</c:v>
                </c:pt>
                <c:pt idx="844">
                  <c:v>65</c:v>
                </c:pt>
                <c:pt idx="845">
                  <c:v>57</c:v>
                </c:pt>
                <c:pt idx="846">
                  <c:v>21</c:v>
                </c:pt>
                <c:pt idx="847">
                  <c:v>26</c:v>
                </c:pt>
                <c:pt idx="849">
                  <c:v>19</c:v>
                </c:pt>
                <c:pt idx="850">
                  <c:v>20</c:v>
                </c:pt>
                <c:pt idx="851">
                  <c:v>23</c:v>
                </c:pt>
                <c:pt idx="852">
                  <c:v>40</c:v>
                </c:pt>
                <c:pt idx="853">
                  <c:v>48</c:v>
                </c:pt>
                <c:pt idx="854">
                  <c:v>37</c:v>
                </c:pt>
                <c:pt idx="855">
                  <c:v>24</c:v>
                </c:pt>
                <c:pt idx="856">
                  <c:v>38</c:v>
                </c:pt>
                <c:pt idx="857">
                  <c:v>54</c:v>
                </c:pt>
                <c:pt idx="858">
                  <c:v>51</c:v>
                </c:pt>
                <c:pt idx="859">
                  <c:v>45</c:v>
                </c:pt>
                <c:pt idx="860">
                  <c:v>62</c:v>
                </c:pt>
                <c:pt idx="861">
                  <c:v>63</c:v>
                </c:pt>
                <c:pt idx="862">
                  <c:v>19</c:v>
                </c:pt>
                <c:pt idx="863">
                  <c:v>26</c:v>
                </c:pt>
                <c:pt idx="864">
                  <c:v>49</c:v>
                </c:pt>
                <c:pt idx="865">
                  <c:v>58</c:v>
                </c:pt>
                <c:pt idx="866">
                  <c:v>38</c:v>
                </c:pt>
                <c:pt idx="867">
                  <c:v>64</c:v>
                </c:pt>
                <c:pt idx="868">
                  <c:v>33</c:v>
                </c:pt>
                <c:pt idx="869">
                  <c:v>22</c:v>
                </c:pt>
                <c:pt idx="870">
                  <c:v>55</c:v>
                </c:pt>
                <c:pt idx="871">
                  <c:v>35</c:v>
                </c:pt>
                <c:pt idx="872">
                  <c:v>36</c:v>
                </c:pt>
                <c:pt idx="873">
                  <c:v>25</c:v>
                </c:pt>
                <c:pt idx="874">
                  <c:v>36</c:v>
                </c:pt>
                <c:pt idx="875">
                  <c:v>37</c:v>
                </c:pt>
                <c:pt idx="876">
                  <c:v>48</c:v>
                </c:pt>
                <c:pt idx="877">
                  <c:v>40</c:v>
                </c:pt>
                <c:pt idx="878">
                  <c:v>55</c:v>
                </c:pt>
                <c:pt idx="879">
                  <c:v>19</c:v>
                </c:pt>
                <c:pt idx="880">
                  <c:v>43</c:v>
                </c:pt>
                <c:pt idx="881">
                  <c:v>65</c:v>
                </c:pt>
                <c:pt idx="882">
                  <c:v>54</c:v>
                </c:pt>
                <c:pt idx="883">
                  <c:v>43</c:v>
                </c:pt>
                <c:pt idx="884">
                  <c:v>34</c:v>
                </c:pt>
                <c:pt idx="885">
                  <c:v>21</c:v>
                </c:pt>
                <c:pt idx="886">
                  <c:v>45</c:v>
                </c:pt>
                <c:pt idx="887">
                  <c:v>55</c:v>
                </c:pt>
                <c:pt idx="888">
                  <c:v>30</c:v>
                </c:pt>
                <c:pt idx="889">
                  <c:v>19</c:v>
                </c:pt>
                <c:pt idx="890">
                  <c:v>56</c:v>
                </c:pt>
                <c:pt idx="891">
                  <c:v>25</c:v>
                </c:pt>
                <c:pt idx="892">
                  <c:v>24</c:v>
                </c:pt>
                <c:pt idx="893">
                  <c:v>20</c:v>
                </c:pt>
                <c:pt idx="894">
                  <c:v>49</c:v>
                </c:pt>
                <c:pt idx="895">
                  <c:v>58</c:v>
                </c:pt>
                <c:pt idx="896">
                  <c:v>20</c:v>
                </c:pt>
                <c:pt idx="897">
                  <c:v>64</c:v>
                </c:pt>
                <c:pt idx="899">
                  <c:v>39</c:v>
                </c:pt>
                <c:pt idx="900">
                  <c:v>41</c:v>
                </c:pt>
                <c:pt idx="901">
                  <c:v>56</c:v>
                </c:pt>
                <c:pt idx="902">
                  <c:v>21</c:v>
                </c:pt>
                <c:pt idx="903">
                  <c:v>49</c:v>
                </c:pt>
                <c:pt idx="904">
                  <c:v>36</c:v>
                </c:pt>
                <c:pt idx="905">
                  <c:v>33</c:v>
                </c:pt>
                <c:pt idx="906">
                  <c:v>55</c:v>
                </c:pt>
                <c:pt idx="907">
                  <c:v>64</c:v>
                </c:pt>
                <c:pt idx="908">
                  <c:v>48</c:v>
                </c:pt>
                <c:pt idx="909">
                  <c:v>55</c:v>
                </c:pt>
                <c:pt idx="910">
                  <c:v>49</c:v>
                </c:pt>
                <c:pt idx="911">
                  <c:v>28</c:v>
                </c:pt>
                <c:pt idx="912">
                  <c:v>22</c:v>
                </c:pt>
                <c:pt idx="913">
                  <c:v>58</c:v>
                </c:pt>
                <c:pt idx="914">
                  <c:v>36</c:v>
                </c:pt>
                <c:pt idx="915">
                  <c:v>32</c:v>
                </c:pt>
                <c:pt idx="916">
                  <c:v>29</c:v>
                </c:pt>
                <c:pt idx="917">
                  <c:v>41</c:v>
                </c:pt>
                <c:pt idx="918">
                  <c:v>36</c:v>
                </c:pt>
                <c:pt idx="919">
                  <c:v>30</c:v>
                </c:pt>
                <c:pt idx="920">
                  <c:v>59</c:v>
                </c:pt>
                <c:pt idx="921">
                  <c:v>33</c:v>
                </c:pt>
                <c:pt idx="922">
                  <c:v>50</c:v>
                </c:pt>
                <c:pt idx="923">
                  <c:v>62</c:v>
                </c:pt>
                <c:pt idx="924">
                  <c:v>52</c:v>
                </c:pt>
                <c:pt idx="925">
                  <c:v>54</c:v>
                </c:pt>
                <c:pt idx="926">
                  <c:v>39</c:v>
                </c:pt>
                <c:pt idx="927">
                  <c:v>57</c:v>
                </c:pt>
                <c:pt idx="928">
                  <c:v>65</c:v>
                </c:pt>
                <c:pt idx="929">
                  <c:v>32</c:v>
                </c:pt>
                <c:pt idx="930">
                  <c:v>50</c:v>
                </c:pt>
                <c:pt idx="931">
                  <c:v>50</c:v>
                </c:pt>
                <c:pt idx="932">
                  <c:v>63</c:v>
                </c:pt>
                <c:pt idx="933">
                  <c:v>37</c:v>
                </c:pt>
                <c:pt idx="934">
                  <c:v>65</c:v>
                </c:pt>
                <c:pt idx="935">
                  <c:v>40</c:v>
                </c:pt>
                <c:pt idx="936">
                  <c:v>30</c:v>
                </c:pt>
                <c:pt idx="937">
                  <c:v>62</c:v>
                </c:pt>
                <c:pt idx="938">
                  <c:v>43</c:v>
                </c:pt>
                <c:pt idx="939">
                  <c:v>35</c:v>
                </c:pt>
                <c:pt idx="940">
                  <c:v>53</c:v>
                </c:pt>
                <c:pt idx="941">
                  <c:v>64</c:v>
                </c:pt>
                <c:pt idx="942">
                  <c:v>20</c:v>
                </c:pt>
                <c:pt idx="943">
                  <c:v>26</c:v>
                </c:pt>
                <c:pt idx="944">
                  <c:v>62</c:v>
                </c:pt>
                <c:pt idx="945">
                  <c:v>61</c:v>
                </c:pt>
                <c:pt idx="946">
                  <c:v>64</c:v>
                </c:pt>
                <c:pt idx="947">
                  <c:v>40</c:v>
                </c:pt>
                <c:pt idx="949">
                  <c:v>22</c:v>
                </c:pt>
                <c:pt idx="950">
                  <c:v>48</c:v>
                </c:pt>
                <c:pt idx="951">
                  <c:v>53</c:v>
                </c:pt>
                <c:pt idx="952">
                  <c:v>36</c:v>
                </c:pt>
                <c:pt idx="953">
                  <c:v>21</c:v>
                </c:pt>
                <c:pt idx="954">
                  <c:v>43</c:v>
                </c:pt>
                <c:pt idx="955">
                  <c:v>59</c:v>
                </c:pt>
                <c:pt idx="956">
                  <c:v>65</c:v>
                </c:pt>
                <c:pt idx="957">
                  <c:v>46</c:v>
                </c:pt>
                <c:pt idx="958">
                  <c:v>62</c:v>
                </c:pt>
                <c:pt idx="959">
                  <c:v>65</c:v>
                </c:pt>
                <c:pt idx="960">
                  <c:v>40</c:v>
                </c:pt>
                <c:pt idx="961">
                  <c:v>49</c:v>
                </c:pt>
                <c:pt idx="962">
                  <c:v>48</c:v>
                </c:pt>
                <c:pt idx="963">
                  <c:v>20</c:v>
                </c:pt>
                <c:pt idx="964">
                  <c:v>54</c:v>
                </c:pt>
                <c:pt idx="965">
                  <c:v>44</c:v>
                </c:pt>
                <c:pt idx="966">
                  <c:v>61</c:v>
                </c:pt>
                <c:pt idx="967">
                  <c:v>58</c:v>
                </c:pt>
                <c:pt idx="968">
                  <c:v>27</c:v>
                </c:pt>
                <c:pt idx="969">
                  <c:v>31</c:v>
                </c:pt>
                <c:pt idx="970">
                  <c:v>32</c:v>
                </c:pt>
                <c:pt idx="971">
                  <c:v>43</c:v>
                </c:pt>
                <c:pt idx="972">
                  <c:v>37</c:v>
                </c:pt>
                <c:pt idx="973">
                  <c:v>25</c:v>
                </c:pt>
                <c:pt idx="974">
                  <c:v>22</c:v>
                </c:pt>
                <c:pt idx="975">
                  <c:v>24</c:v>
                </c:pt>
                <c:pt idx="976">
                  <c:v>50</c:v>
                </c:pt>
                <c:pt idx="977">
                  <c:v>48</c:v>
                </c:pt>
                <c:pt idx="978">
                  <c:v>30</c:v>
                </c:pt>
                <c:pt idx="979">
                  <c:v>24</c:v>
                </c:pt>
                <c:pt idx="980">
                  <c:v>54</c:v>
                </c:pt>
                <c:pt idx="981">
                  <c:v>54</c:v>
                </c:pt>
                <c:pt idx="982">
                  <c:v>46</c:v>
                </c:pt>
                <c:pt idx="983">
                  <c:v>58</c:v>
                </c:pt>
                <c:pt idx="984">
                  <c:v>24</c:v>
                </c:pt>
                <c:pt idx="985">
                  <c:v>37</c:v>
                </c:pt>
                <c:pt idx="986">
                  <c:v>27</c:v>
                </c:pt>
                <c:pt idx="987">
                  <c:v>57</c:v>
                </c:pt>
                <c:pt idx="988">
                  <c:v>34</c:v>
                </c:pt>
                <c:pt idx="989">
                  <c:v>31</c:v>
                </c:pt>
                <c:pt idx="990">
                  <c:v>27</c:v>
                </c:pt>
                <c:pt idx="991">
                  <c:v>52</c:v>
                </c:pt>
                <c:pt idx="992">
                  <c:v>52</c:v>
                </c:pt>
                <c:pt idx="993">
                  <c:v>64</c:v>
                </c:pt>
                <c:pt idx="994">
                  <c:v>36</c:v>
                </c:pt>
                <c:pt idx="995">
                  <c:v>61</c:v>
                </c:pt>
                <c:pt idx="996">
                  <c:v>25</c:v>
                </c:pt>
                <c:pt idx="997">
                  <c:v>62</c:v>
                </c:pt>
                <c:pt idx="999">
                  <c:v>58</c:v>
                </c:pt>
              </c:numCache>
            </c:numRef>
          </c:xVal>
          <c:yVal>
            <c:numRef>
              <c:f>Cleaned_Sales_Dataset!$L$2:$L$1001</c:f>
              <c:numCache>
                <c:formatCode>General</c:formatCode>
                <c:ptCount val="1000"/>
                <c:pt idx="0">
                  <c:v>19808.39</c:v>
                </c:pt>
                <c:pt idx="1">
                  <c:v>139530.79999999999</c:v>
                </c:pt>
                <c:pt idx="2">
                  <c:v>299928.48</c:v>
                </c:pt>
                <c:pt idx="3">
                  <c:v>256872.24</c:v>
                </c:pt>
                <c:pt idx="4">
                  <c:v>140365.9</c:v>
                </c:pt>
                <c:pt idx="5">
                  <c:v>323527.23</c:v>
                </c:pt>
                <c:pt idx="6">
                  <c:v>299985.18</c:v>
                </c:pt>
                <c:pt idx="7">
                  <c:v>28466.49</c:v>
                </c:pt>
                <c:pt idx="8">
                  <c:v>116929.38</c:v>
                </c:pt>
                <c:pt idx="9">
                  <c:v>144194.72</c:v>
                </c:pt>
                <c:pt idx="10">
                  <c:v>42454.26</c:v>
                </c:pt>
                <c:pt idx="11">
                  <c:v>283052.58</c:v>
                </c:pt>
                <c:pt idx="12">
                  <c:v>37068.400000000001</c:v>
                </c:pt>
                <c:pt idx="13">
                  <c:v>96340.160000000003</c:v>
                </c:pt>
                <c:pt idx="14">
                  <c:v>203722.48</c:v>
                </c:pt>
                <c:pt idx="15">
                  <c:v>201110.9</c:v>
                </c:pt>
                <c:pt idx="16">
                  <c:v>401091.2</c:v>
                </c:pt>
                <c:pt idx="17">
                  <c:v>7280.64</c:v>
                </c:pt>
                <c:pt idx="18">
                  <c:v>30612.95</c:v>
                </c:pt>
                <c:pt idx="19">
                  <c:v>190162.88</c:v>
                </c:pt>
                <c:pt idx="20">
                  <c:v>2344.98</c:v>
                </c:pt>
                <c:pt idx="21">
                  <c:v>107774.59</c:v>
                </c:pt>
                <c:pt idx="22">
                  <c:v>315765</c:v>
                </c:pt>
                <c:pt idx="23">
                  <c:v>22254.12</c:v>
                </c:pt>
                <c:pt idx="24">
                  <c:v>252489.02</c:v>
                </c:pt>
                <c:pt idx="25">
                  <c:v>354730.14</c:v>
                </c:pt>
                <c:pt idx="26">
                  <c:v>47674.82</c:v>
                </c:pt>
                <c:pt idx="27">
                  <c:v>72673.95</c:v>
                </c:pt>
                <c:pt idx="28">
                  <c:v>213936.9</c:v>
                </c:pt>
                <c:pt idx="29">
                  <c:v>42764.32</c:v>
                </c:pt>
                <c:pt idx="30">
                  <c:v>15831.03</c:v>
                </c:pt>
                <c:pt idx="31">
                  <c:v>174333.28</c:v>
                </c:pt>
                <c:pt idx="32">
                  <c:v>87780.4</c:v>
                </c:pt>
                <c:pt idx="33">
                  <c:v>234114.2</c:v>
                </c:pt>
                <c:pt idx="34">
                  <c:v>191586.8</c:v>
                </c:pt>
                <c:pt idx="35">
                  <c:v>359291.92</c:v>
                </c:pt>
                <c:pt idx="36">
                  <c:v>285227.53000000003</c:v>
                </c:pt>
                <c:pt idx="37">
                  <c:v>19176.32</c:v>
                </c:pt>
                <c:pt idx="38">
                  <c:v>234167.84</c:v>
                </c:pt>
                <c:pt idx="39">
                  <c:v>3992.85</c:v>
                </c:pt>
                <c:pt idx="40">
                  <c:v>221829.7</c:v>
                </c:pt>
                <c:pt idx="41">
                  <c:v>119662.88</c:v>
                </c:pt>
                <c:pt idx="42">
                  <c:v>99128.639999999999</c:v>
                </c:pt>
                <c:pt idx="43">
                  <c:v>86394.66</c:v>
                </c:pt>
                <c:pt idx="44">
                  <c:v>13424.67</c:v>
                </c:pt>
                <c:pt idx="45">
                  <c:v>12420.48</c:v>
                </c:pt>
                <c:pt idx="46">
                  <c:v>95299.22</c:v>
                </c:pt>
                <c:pt idx="47">
                  <c:v>124270.25</c:v>
                </c:pt>
                <c:pt idx="48">
                  <c:v>277513.83</c:v>
                </c:pt>
                <c:pt idx="49">
                  <c:v>123371.82</c:v>
                </c:pt>
                <c:pt idx="50">
                  <c:v>493677.5</c:v>
                </c:pt>
                <c:pt idx="51">
                  <c:v>27936.6</c:v>
                </c:pt>
                <c:pt idx="52">
                  <c:v>296420.74</c:v>
                </c:pt>
                <c:pt idx="53">
                  <c:v>264230.68</c:v>
                </c:pt>
                <c:pt idx="54">
                  <c:v>66608.34</c:v>
                </c:pt>
                <c:pt idx="55">
                  <c:v>246944.64000000001</c:v>
                </c:pt>
                <c:pt idx="56">
                  <c:v>333687.40999999997</c:v>
                </c:pt>
                <c:pt idx="57">
                  <c:v>44708.5</c:v>
                </c:pt>
                <c:pt idx="58">
                  <c:v>184045.4</c:v>
                </c:pt>
                <c:pt idx="59">
                  <c:v>101171.88</c:v>
                </c:pt>
                <c:pt idx="60">
                  <c:v>29263.26</c:v>
                </c:pt>
                <c:pt idx="61">
                  <c:v>17039.73</c:v>
                </c:pt>
                <c:pt idx="62">
                  <c:v>277415.76</c:v>
                </c:pt>
                <c:pt idx="63">
                  <c:v>244476.54</c:v>
                </c:pt>
                <c:pt idx="64">
                  <c:v>89054.9</c:v>
                </c:pt>
                <c:pt idx="65">
                  <c:v>174065.2</c:v>
                </c:pt>
                <c:pt idx="66">
                  <c:v>136832.9</c:v>
                </c:pt>
                <c:pt idx="67">
                  <c:v>206413.15</c:v>
                </c:pt>
                <c:pt idx="68">
                  <c:v>109163.28</c:v>
                </c:pt>
                <c:pt idx="69">
                  <c:v>218701.12</c:v>
                </c:pt>
                <c:pt idx="70">
                  <c:v>146098.6</c:v>
                </c:pt>
                <c:pt idx="71">
                  <c:v>25717.95</c:v>
                </c:pt>
                <c:pt idx="72">
                  <c:v>408776.58</c:v>
                </c:pt>
                <c:pt idx="73">
                  <c:v>86397.04</c:v>
                </c:pt>
                <c:pt idx="74">
                  <c:v>17766.900000000001</c:v>
                </c:pt>
                <c:pt idx="75">
                  <c:v>110614.05</c:v>
                </c:pt>
                <c:pt idx="76">
                  <c:v>64707.839999999997</c:v>
                </c:pt>
                <c:pt idx="77">
                  <c:v>35862.339999999997</c:v>
                </c:pt>
                <c:pt idx="78">
                  <c:v>13129.64</c:v>
                </c:pt>
                <c:pt idx="79">
                  <c:v>411726.33</c:v>
                </c:pt>
                <c:pt idx="80">
                  <c:v>35099.339999999997</c:v>
                </c:pt>
                <c:pt idx="81">
                  <c:v>439609.5</c:v>
                </c:pt>
                <c:pt idx="82">
                  <c:v>223452.45</c:v>
                </c:pt>
                <c:pt idx="83">
                  <c:v>142731.20000000001</c:v>
                </c:pt>
                <c:pt idx="84">
                  <c:v>136626.6</c:v>
                </c:pt>
                <c:pt idx="85">
                  <c:v>48677.96</c:v>
                </c:pt>
                <c:pt idx="86">
                  <c:v>2094.36</c:v>
                </c:pt>
                <c:pt idx="87">
                  <c:v>163989.92000000001</c:v>
                </c:pt>
                <c:pt idx="88">
                  <c:v>118002.51</c:v>
                </c:pt>
                <c:pt idx="89">
                  <c:v>405004.41</c:v>
                </c:pt>
                <c:pt idx="90">
                  <c:v>6910.12</c:v>
                </c:pt>
                <c:pt idx="91">
                  <c:v>230997.12</c:v>
                </c:pt>
                <c:pt idx="92">
                  <c:v>143752.47</c:v>
                </c:pt>
                <c:pt idx="93">
                  <c:v>213995.1</c:v>
                </c:pt>
                <c:pt idx="94">
                  <c:v>75639.399999999994</c:v>
                </c:pt>
                <c:pt idx="95">
                  <c:v>291741.38</c:v>
                </c:pt>
                <c:pt idx="96">
                  <c:v>407455.5</c:v>
                </c:pt>
                <c:pt idx="97">
                  <c:v>62434.239999999998</c:v>
                </c:pt>
                <c:pt idx="98">
                  <c:v>2768.1</c:v>
                </c:pt>
                <c:pt idx="99">
                  <c:v>27898.639999999999</c:v>
                </c:pt>
                <c:pt idx="100">
                  <c:v>174940.92</c:v>
                </c:pt>
                <c:pt idx="101">
                  <c:v>122561.37</c:v>
                </c:pt>
                <c:pt idx="102">
                  <c:v>311180.64</c:v>
                </c:pt>
                <c:pt idx="103">
                  <c:v>51282.42</c:v>
                </c:pt>
                <c:pt idx="104">
                  <c:v>323841.07</c:v>
                </c:pt>
                <c:pt idx="105">
                  <c:v>5629.1</c:v>
                </c:pt>
                <c:pt idx="106">
                  <c:v>328896.40000000002</c:v>
                </c:pt>
                <c:pt idx="107">
                  <c:v>147307.51999999999</c:v>
                </c:pt>
                <c:pt idx="108">
                  <c:v>128419.56</c:v>
                </c:pt>
                <c:pt idx="109">
                  <c:v>33198</c:v>
                </c:pt>
                <c:pt idx="110">
                  <c:v>7916.91</c:v>
                </c:pt>
                <c:pt idx="111">
                  <c:v>100010.88</c:v>
                </c:pt>
                <c:pt idx="112">
                  <c:v>103917.5</c:v>
                </c:pt>
                <c:pt idx="113">
                  <c:v>224371.6</c:v>
                </c:pt>
                <c:pt idx="114">
                  <c:v>369482.04</c:v>
                </c:pt>
                <c:pt idx="115">
                  <c:v>42782.38</c:v>
                </c:pt>
                <c:pt idx="116">
                  <c:v>147500.76</c:v>
                </c:pt>
                <c:pt idx="117">
                  <c:v>166562.96</c:v>
                </c:pt>
                <c:pt idx="118">
                  <c:v>51591.1</c:v>
                </c:pt>
                <c:pt idx="119">
                  <c:v>35133.760000000002</c:v>
                </c:pt>
                <c:pt idx="120">
                  <c:v>36304.28</c:v>
                </c:pt>
                <c:pt idx="121">
                  <c:v>113778.84</c:v>
                </c:pt>
                <c:pt idx="122">
                  <c:v>19026.349999999999</c:v>
                </c:pt>
                <c:pt idx="123">
                  <c:v>325425.87</c:v>
                </c:pt>
                <c:pt idx="124">
                  <c:v>17041.21</c:v>
                </c:pt>
                <c:pt idx="125">
                  <c:v>248966.58</c:v>
                </c:pt>
                <c:pt idx="126">
                  <c:v>259301</c:v>
                </c:pt>
                <c:pt idx="127">
                  <c:v>210254.64</c:v>
                </c:pt>
                <c:pt idx="128">
                  <c:v>174666.56</c:v>
                </c:pt>
                <c:pt idx="129">
                  <c:v>243462.6</c:v>
                </c:pt>
                <c:pt idx="130">
                  <c:v>195199.8</c:v>
                </c:pt>
                <c:pt idx="131">
                  <c:v>299029.7</c:v>
                </c:pt>
                <c:pt idx="132">
                  <c:v>132772.22</c:v>
                </c:pt>
                <c:pt idx="133">
                  <c:v>429431.7</c:v>
                </c:pt>
                <c:pt idx="134">
                  <c:v>145301.46</c:v>
                </c:pt>
                <c:pt idx="135">
                  <c:v>63845.1</c:v>
                </c:pt>
                <c:pt idx="136">
                  <c:v>148740.85</c:v>
                </c:pt>
                <c:pt idx="137">
                  <c:v>180509.76</c:v>
                </c:pt>
                <c:pt idx="138">
                  <c:v>121251.76</c:v>
                </c:pt>
                <c:pt idx="139">
                  <c:v>226245.78</c:v>
                </c:pt>
                <c:pt idx="140">
                  <c:v>203324.1</c:v>
                </c:pt>
                <c:pt idx="141">
                  <c:v>181063.26</c:v>
                </c:pt>
                <c:pt idx="142">
                  <c:v>85717.2</c:v>
                </c:pt>
                <c:pt idx="143">
                  <c:v>27593.599999999999</c:v>
                </c:pt>
                <c:pt idx="144">
                  <c:v>20740.93</c:v>
                </c:pt>
                <c:pt idx="145">
                  <c:v>112729.05</c:v>
                </c:pt>
                <c:pt idx="146">
                  <c:v>122496.24</c:v>
                </c:pt>
                <c:pt idx="147">
                  <c:v>16185.56</c:v>
                </c:pt>
                <c:pt idx="148">
                  <c:v>7894.56</c:v>
                </c:pt>
                <c:pt idx="149">
                  <c:v>333996.40000000002</c:v>
                </c:pt>
                <c:pt idx="150">
                  <c:v>439499.43</c:v>
                </c:pt>
                <c:pt idx="151">
                  <c:v>340497.71</c:v>
                </c:pt>
                <c:pt idx="152">
                  <c:v>169196.64</c:v>
                </c:pt>
                <c:pt idx="153">
                  <c:v>191167.55</c:v>
                </c:pt>
                <c:pt idx="154">
                  <c:v>26010.12</c:v>
                </c:pt>
                <c:pt idx="155">
                  <c:v>36587.919999999998</c:v>
                </c:pt>
                <c:pt idx="156">
                  <c:v>81620.02</c:v>
                </c:pt>
                <c:pt idx="157">
                  <c:v>199283</c:v>
                </c:pt>
                <c:pt idx="158">
                  <c:v>10851.3</c:v>
                </c:pt>
                <c:pt idx="159">
                  <c:v>437.34</c:v>
                </c:pt>
                <c:pt idx="160">
                  <c:v>203724.09</c:v>
                </c:pt>
                <c:pt idx="161">
                  <c:v>238983.9</c:v>
                </c:pt>
                <c:pt idx="162">
                  <c:v>410547.20000000001</c:v>
                </c:pt>
                <c:pt idx="163">
                  <c:v>141200.44</c:v>
                </c:pt>
                <c:pt idx="164">
                  <c:v>125266.25</c:v>
                </c:pt>
                <c:pt idx="165">
                  <c:v>165724.79</c:v>
                </c:pt>
                <c:pt idx="166">
                  <c:v>299490.08</c:v>
                </c:pt>
                <c:pt idx="167">
                  <c:v>317305.7</c:v>
                </c:pt>
                <c:pt idx="168">
                  <c:v>120557.08</c:v>
                </c:pt>
                <c:pt idx="169">
                  <c:v>30869.01</c:v>
                </c:pt>
                <c:pt idx="170">
                  <c:v>8906.18</c:v>
                </c:pt>
                <c:pt idx="171">
                  <c:v>43713.279999999999</c:v>
                </c:pt>
                <c:pt idx="172">
                  <c:v>241032.51</c:v>
                </c:pt>
                <c:pt idx="173">
                  <c:v>444513.78</c:v>
                </c:pt>
                <c:pt idx="174">
                  <c:v>196134.84</c:v>
                </c:pt>
                <c:pt idx="175">
                  <c:v>67401.84</c:v>
                </c:pt>
                <c:pt idx="176">
                  <c:v>28196.26</c:v>
                </c:pt>
                <c:pt idx="177">
                  <c:v>102099.33</c:v>
                </c:pt>
                <c:pt idx="178">
                  <c:v>7119.05</c:v>
                </c:pt>
                <c:pt idx="179">
                  <c:v>237884.56</c:v>
                </c:pt>
                <c:pt idx="180">
                  <c:v>10367</c:v>
                </c:pt>
                <c:pt idx="181">
                  <c:v>185034.88</c:v>
                </c:pt>
                <c:pt idx="182">
                  <c:v>88672.76</c:v>
                </c:pt>
                <c:pt idx="183">
                  <c:v>14919.85</c:v>
                </c:pt>
                <c:pt idx="184">
                  <c:v>26461.65</c:v>
                </c:pt>
                <c:pt idx="185">
                  <c:v>21001.73</c:v>
                </c:pt>
                <c:pt idx="186">
                  <c:v>150907.5</c:v>
                </c:pt>
                <c:pt idx="187">
                  <c:v>143878.14000000001</c:v>
                </c:pt>
                <c:pt idx="188">
                  <c:v>38214.199999999997</c:v>
                </c:pt>
                <c:pt idx="189">
                  <c:v>19590.5</c:v>
                </c:pt>
                <c:pt idx="190">
                  <c:v>105841.56</c:v>
                </c:pt>
                <c:pt idx="191">
                  <c:v>54797.1</c:v>
                </c:pt>
                <c:pt idx="192">
                  <c:v>274083.59999999998</c:v>
                </c:pt>
                <c:pt idx="193">
                  <c:v>89287.2</c:v>
                </c:pt>
                <c:pt idx="194">
                  <c:v>219937.28</c:v>
                </c:pt>
                <c:pt idx="195">
                  <c:v>35489.21</c:v>
                </c:pt>
                <c:pt idx="196">
                  <c:v>252084.4</c:v>
                </c:pt>
                <c:pt idx="197">
                  <c:v>16633.849999999999</c:v>
                </c:pt>
                <c:pt idx="198">
                  <c:v>220868.4</c:v>
                </c:pt>
                <c:pt idx="199">
                  <c:v>178648.82</c:v>
                </c:pt>
                <c:pt idx="200">
                  <c:v>142635.56</c:v>
                </c:pt>
                <c:pt idx="201">
                  <c:v>144704.16</c:v>
                </c:pt>
                <c:pt idx="202">
                  <c:v>48123.87</c:v>
                </c:pt>
                <c:pt idx="203">
                  <c:v>148803.66</c:v>
                </c:pt>
                <c:pt idx="204">
                  <c:v>16714.64</c:v>
                </c:pt>
                <c:pt idx="205">
                  <c:v>185424.32</c:v>
                </c:pt>
                <c:pt idx="206">
                  <c:v>21090.240000000002</c:v>
                </c:pt>
                <c:pt idx="207">
                  <c:v>208852.56</c:v>
                </c:pt>
                <c:pt idx="208">
                  <c:v>177138.7</c:v>
                </c:pt>
                <c:pt idx="209">
                  <c:v>13263.99</c:v>
                </c:pt>
                <c:pt idx="210">
                  <c:v>49067.82</c:v>
                </c:pt>
                <c:pt idx="211">
                  <c:v>111865.08</c:v>
                </c:pt>
                <c:pt idx="212">
                  <c:v>130165.29</c:v>
                </c:pt>
                <c:pt idx="213">
                  <c:v>29838.32</c:v>
                </c:pt>
                <c:pt idx="214">
                  <c:v>47542</c:v>
                </c:pt>
                <c:pt idx="215">
                  <c:v>156219.79999999999</c:v>
                </c:pt>
                <c:pt idx="216">
                  <c:v>121853.1</c:v>
                </c:pt>
                <c:pt idx="217">
                  <c:v>62199.8</c:v>
                </c:pt>
                <c:pt idx="218">
                  <c:v>34192.300000000003</c:v>
                </c:pt>
                <c:pt idx="219">
                  <c:v>24428.2</c:v>
                </c:pt>
                <c:pt idx="220">
                  <c:v>490866.4</c:v>
                </c:pt>
                <c:pt idx="221">
                  <c:v>163236.96</c:v>
                </c:pt>
                <c:pt idx="222">
                  <c:v>394778.24</c:v>
                </c:pt>
                <c:pt idx="223">
                  <c:v>25336.7</c:v>
                </c:pt>
                <c:pt idx="224">
                  <c:v>36805.550000000003</c:v>
                </c:pt>
                <c:pt idx="225">
                  <c:v>132823.76</c:v>
                </c:pt>
                <c:pt idx="226">
                  <c:v>86438.080000000002</c:v>
                </c:pt>
                <c:pt idx="227">
                  <c:v>330723.90000000002</c:v>
                </c:pt>
                <c:pt idx="228">
                  <c:v>280078.14</c:v>
                </c:pt>
                <c:pt idx="229">
                  <c:v>53794.02</c:v>
                </c:pt>
                <c:pt idx="230">
                  <c:v>22073.279999999999</c:v>
                </c:pt>
                <c:pt idx="231">
                  <c:v>107317.63</c:v>
                </c:pt>
                <c:pt idx="232">
                  <c:v>41626.11</c:v>
                </c:pt>
                <c:pt idx="233">
                  <c:v>267836.96000000002</c:v>
                </c:pt>
                <c:pt idx="234">
                  <c:v>397220.94</c:v>
                </c:pt>
                <c:pt idx="235">
                  <c:v>45048.9</c:v>
                </c:pt>
                <c:pt idx="236">
                  <c:v>200976.86</c:v>
                </c:pt>
                <c:pt idx="237">
                  <c:v>153373.79999999999</c:v>
                </c:pt>
                <c:pt idx="238">
                  <c:v>8582.49</c:v>
                </c:pt>
                <c:pt idx="239">
                  <c:v>5944.12</c:v>
                </c:pt>
                <c:pt idx="240">
                  <c:v>33273.360000000001</c:v>
                </c:pt>
                <c:pt idx="241">
                  <c:v>43529.29</c:v>
                </c:pt>
                <c:pt idx="242">
                  <c:v>296462.59999999998</c:v>
                </c:pt>
                <c:pt idx="243">
                  <c:v>74724.160000000003</c:v>
                </c:pt>
                <c:pt idx="244">
                  <c:v>178309.16</c:v>
                </c:pt>
                <c:pt idx="245">
                  <c:v>219522.18</c:v>
                </c:pt>
                <c:pt idx="246">
                  <c:v>75833.37</c:v>
                </c:pt>
                <c:pt idx="247">
                  <c:v>308555</c:v>
                </c:pt>
                <c:pt idx="248">
                  <c:v>138808.10999999999</c:v>
                </c:pt>
                <c:pt idx="249">
                  <c:v>325228.19</c:v>
                </c:pt>
                <c:pt idx="250">
                  <c:v>64336.72</c:v>
                </c:pt>
                <c:pt idx="251">
                  <c:v>3310.72</c:v>
                </c:pt>
                <c:pt idx="252">
                  <c:v>177852.72</c:v>
                </c:pt>
                <c:pt idx="253">
                  <c:v>261456.84</c:v>
                </c:pt>
                <c:pt idx="254">
                  <c:v>43789.89</c:v>
                </c:pt>
                <c:pt idx="255">
                  <c:v>34757.71</c:v>
                </c:pt>
                <c:pt idx="256">
                  <c:v>43373.54</c:v>
                </c:pt>
                <c:pt idx="257">
                  <c:v>290918.71999999997</c:v>
                </c:pt>
                <c:pt idx="258">
                  <c:v>47845.02</c:v>
                </c:pt>
                <c:pt idx="259">
                  <c:v>86462</c:v>
                </c:pt>
                <c:pt idx="260">
                  <c:v>175530.12</c:v>
                </c:pt>
                <c:pt idx="261">
                  <c:v>103625.84</c:v>
                </c:pt>
                <c:pt idx="262">
                  <c:v>54990.9</c:v>
                </c:pt>
                <c:pt idx="263">
                  <c:v>363317.5</c:v>
                </c:pt>
                <c:pt idx="264">
                  <c:v>51679.6</c:v>
                </c:pt>
                <c:pt idx="265">
                  <c:v>100658</c:v>
                </c:pt>
                <c:pt idx="266">
                  <c:v>248328.55</c:v>
                </c:pt>
                <c:pt idx="267">
                  <c:v>96526.71</c:v>
                </c:pt>
                <c:pt idx="268">
                  <c:v>82021.25</c:v>
                </c:pt>
                <c:pt idx="269">
                  <c:v>97121.64</c:v>
                </c:pt>
                <c:pt idx="270">
                  <c:v>150268.72</c:v>
                </c:pt>
                <c:pt idx="271">
                  <c:v>236009.2</c:v>
                </c:pt>
                <c:pt idx="272">
                  <c:v>180858.3</c:v>
                </c:pt>
                <c:pt idx="273">
                  <c:v>378494.16</c:v>
                </c:pt>
                <c:pt idx="274">
                  <c:v>259787.34</c:v>
                </c:pt>
                <c:pt idx="275">
                  <c:v>96867.4</c:v>
                </c:pt>
                <c:pt idx="276">
                  <c:v>52698.94</c:v>
                </c:pt>
                <c:pt idx="277">
                  <c:v>186519.72</c:v>
                </c:pt>
                <c:pt idx="278">
                  <c:v>97209.96</c:v>
                </c:pt>
                <c:pt idx="279">
                  <c:v>85323.78</c:v>
                </c:pt>
                <c:pt idx="280">
                  <c:v>34861.199999999997</c:v>
                </c:pt>
                <c:pt idx="281">
                  <c:v>135764.76</c:v>
                </c:pt>
                <c:pt idx="282">
                  <c:v>185571.72</c:v>
                </c:pt>
                <c:pt idx="283">
                  <c:v>90068.24</c:v>
                </c:pt>
                <c:pt idx="284">
                  <c:v>81537</c:v>
                </c:pt>
                <c:pt idx="285">
                  <c:v>107665.89</c:v>
                </c:pt>
                <c:pt idx="286">
                  <c:v>214875.81</c:v>
                </c:pt>
                <c:pt idx="287">
                  <c:v>34200.58</c:v>
                </c:pt>
                <c:pt idx="288">
                  <c:v>106419.88</c:v>
                </c:pt>
                <c:pt idx="289">
                  <c:v>106181.75999999999</c:v>
                </c:pt>
                <c:pt idx="290">
                  <c:v>78828.600000000006</c:v>
                </c:pt>
                <c:pt idx="291">
                  <c:v>19210.3</c:v>
                </c:pt>
                <c:pt idx="292">
                  <c:v>25982</c:v>
                </c:pt>
                <c:pt idx="293">
                  <c:v>172829.92</c:v>
                </c:pt>
                <c:pt idx="294">
                  <c:v>199506.68</c:v>
                </c:pt>
                <c:pt idx="295">
                  <c:v>2599.12</c:v>
                </c:pt>
                <c:pt idx="296">
                  <c:v>26611.8</c:v>
                </c:pt>
                <c:pt idx="297">
                  <c:v>82132.92</c:v>
                </c:pt>
                <c:pt idx="298">
                  <c:v>171571.86</c:v>
                </c:pt>
                <c:pt idx="299">
                  <c:v>47545.65</c:v>
                </c:pt>
                <c:pt idx="300">
                  <c:v>7745.85</c:v>
                </c:pt>
                <c:pt idx="301">
                  <c:v>234450.42</c:v>
                </c:pt>
                <c:pt idx="302">
                  <c:v>49324.800000000003</c:v>
                </c:pt>
                <c:pt idx="303">
                  <c:v>203819.75</c:v>
                </c:pt>
                <c:pt idx="304">
                  <c:v>3727.43</c:v>
                </c:pt>
                <c:pt idx="305">
                  <c:v>187087.76</c:v>
                </c:pt>
                <c:pt idx="306">
                  <c:v>302455.37</c:v>
                </c:pt>
                <c:pt idx="307">
                  <c:v>17409.330000000002</c:v>
                </c:pt>
                <c:pt idx="308">
                  <c:v>123899.8</c:v>
                </c:pt>
                <c:pt idx="309">
                  <c:v>161107.04</c:v>
                </c:pt>
                <c:pt idx="310">
                  <c:v>138165.76000000001</c:v>
                </c:pt>
                <c:pt idx="311">
                  <c:v>49496.160000000003</c:v>
                </c:pt>
                <c:pt idx="312">
                  <c:v>343480.48</c:v>
                </c:pt>
                <c:pt idx="313">
                  <c:v>13776.48</c:v>
                </c:pt>
                <c:pt idx="314">
                  <c:v>129289.55</c:v>
                </c:pt>
                <c:pt idx="315">
                  <c:v>189276.52</c:v>
                </c:pt>
                <c:pt idx="316">
                  <c:v>43633.34</c:v>
                </c:pt>
                <c:pt idx="317">
                  <c:v>30227.94</c:v>
                </c:pt>
                <c:pt idx="318">
                  <c:v>199641.96</c:v>
                </c:pt>
                <c:pt idx="319">
                  <c:v>210037.8</c:v>
                </c:pt>
                <c:pt idx="320">
                  <c:v>162226.4</c:v>
                </c:pt>
                <c:pt idx="321">
                  <c:v>7741.12</c:v>
                </c:pt>
                <c:pt idx="322">
                  <c:v>113543.48</c:v>
                </c:pt>
                <c:pt idx="323">
                  <c:v>267104.88</c:v>
                </c:pt>
                <c:pt idx="324">
                  <c:v>1005.21</c:v>
                </c:pt>
                <c:pt idx="325">
                  <c:v>139501.79999999999</c:v>
                </c:pt>
                <c:pt idx="326">
                  <c:v>318554.40000000002</c:v>
                </c:pt>
                <c:pt idx="327">
                  <c:v>413892.18</c:v>
                </c:pt>
                <c:pt idx="328">
                  <c:v>134832.67000000001</c:v>
                </c:pt>
                <c:pt idx="329">
                  <c:v>177865.2</c:v>
                </c:pt>
                <c:pt idx="330">
                  <c:v>8988.44</c:v>
                </c:pt>
                <c:pt idx="331">
                  <c:v>167795.58</c:v>
                </c:pt>
                <c:pt idx="332">
                  <c:v>65068.15</c:v>
                </c:pt>
                <c:pt idx="333">
                  <c:v>63886.38</c:v>
                </c:pt>
                <c:pt idx="334">
                  <c:v>134115.70000000001</c:v>
                </c:pt>
                <c:pt idx="335">
                  <c:v>116373.8</c:v>
                </c:pt>
                <c:pt idx="336">
                  <c:v>192594.75</c:v>
                </c:pt>
                <c:pt idx="337">
                  <c:v>150743.16</c:v>
                </c:pt>
                <c:pt idx="338">
                  <c:v>425608.74</c:v>
                </c:pt>
                <c:pt idx="339">
                  <c:v>74620.36</c:v>
                </c:pt>
                <c:pt idx="340">
                  <c:v>137155.95000000001</c:v>
                </c:pt>
                <c:pt idx="341">
                  <c:v>215803.3</c:v>
                </c:pt>
                <c:pt idx="342">
                  <c:v>54661.599999999999</c:v>
                </c:pt>
                <c:pt idx="343">
                  <c:v>76444.38</c:v>
                </c:pt>
                <c:pt idx="344">
                  <c:v>109237.86</c:v>
                </c:pt>
                <c:pt idx="345">
                  <c:v>36943.51</c:v>
                </c:pt>
                <c:pt idx="346">
                  <c:v>67132.399999999994</c:v>
                </c:pt>
                <c:pt idx="347">
                  <c:v>64664.54</c:v>
                </c:pt>
                <c:pt idx="348">
                  <c:v>378037.6</c:v>
                </c:pt>
                <c:pt idx="349">
                  <c:v>127614.42</c:v>
                </c:pt>
                <c:pt idx="350">
                  <c:v>103361.36</c:v>
                </c:pt>
                <c:pt idx="351">
                  <c:v>8162.84</c:v>
                </c:pt>
                <c:pt idx="352">
                  <c:v>245061.25</c:v>
                </c:pt>
                <c:pt idx="353">
                  <c:v>97693.35</c:v>
                </c:pt>
                <c:pt idx="354">
                  <c:v>5053.68</c:v>
                </c:pt>
                <c:pt idx="355">
                  <c:v>86401.08</c:v>
                </c:pt>
                <c:pt idx="356">
                  <c:v>113857.04</c:v>
                </c:pt>
                <c:pt idx="357">
                  <c:v>203412.5</c:v>
                </c:pt>
                <c:pt idx="358">
                  <c:v>318362.73</c:v>
                </c:pt>
                <c:pt idx="359">
                  <c:v>256457.76</c:v>
                </c:pt>
                <c:pt idx="360">
                  <c:v>190106.9</c:v>
                </c:pt>
                <c:pt idx="361">
                  <c:v>156221.6</c:v>
                </c:pt>
                <c:pt idx="362">
                  <c:v>299131.56</c:v>
                </c:pt>
                <c:pt idx="363">
                  <c:v>44751.42</c:v>
                </c:pt>
                <c:pt idx="364">
                  <c:v>474935.9</c:v>
                </c:pt>
                <c:pt idx="365">
                  <c:v>368979.6</c:v>
                </c:pt>
                <c:pt idx="366">
                  <c:v>93084.36</c:v>
                </c:pt>
                <c:pt idx="367">
                  <c:v>97972.96</c:v>
                </c:pt>
                <c:pt idx="368">
                  <c:v>128393.8</c:v>
                </c:pt>
                <c:pt idx="369">
                  <c:v>6050.27</c:v>
                </c:pt>
                <c:pt idx="370">
                  <c:v>85037.6</c:v>
                </c:pt>
                <c:pt idx="371">
                  <c:v>91224.84</c:v>
                </c:pt>
                <c:pt idx="372">
                  <c:v>157813.84</c:v>
                </c:pt>
                <c:pt idx="373">
                  <c:v>56623.16</c:v>
                </c:pt>
                <c:pt idx="374">
                  <c:v>34541.879999999997</c:v>
                </c:pt>
                <c:pt idx="375">
                  <c:v>128637.6</c:v>
                </c:pt>
                <c:pt idx="376">
                  <c:v>105764.6</c:v>
                </c:pt>
                <c:pt idx="377">
                  <c:v>146990.9</c:v>
                </c:pt>
                <c:pt idx="378">
                  <c:v>78327.66</c:v>
                </c:pt>
                <c:pt idx="379">
                  <c:v>421025.22</c:v>
                </c:pt>
                <c:pt idx="380">
                  <c:v>239811.81</c:v>
                </c:pt>
                <c:pt idx="381">
                  <c:v>119390.88</c:v>
                </c:pt>
                <c:pt idx="382">
                  <c:v>78764.800000000003</c:v>
                </c:pt>
                <c:pt idx="383">
                  <c:v>349767.9</c:v>
                </c:pt>
                <c:pt idx="384">
                  <c:v>309378.71999999997</c:v>
                </c:pt>
                <c:pt idx="385">
                  <c:v>48695.59</c:v>
                </c:pt>
                <c:pt idx="386">
                  <c:v>376842.87</c:v>
                </c:pt>
                <c:pt idx="387">
                  <c:v>157078.85999999999</c:v>
                </c:pt>
                <c:pt idx="388">
                  <c:v>23398.57</c:v>
                </c:pt>
                <c:pt idx="389">
                  <c:v>122982.8</c:v>
                </c:pt>
                <c:pt idx="390">
                  <c:v>35804.49</c:v>
                </c:pt>
                <c:pt idx="391">
                  <c:v>108717.45</c:v>
                </c:pt>
                <c:pt idx="392">
                  <c:v>105715.35</c:v>
                </c:pt>
                <c:pt idx="393">
                  <c:v>242216.48</c:v>
                </c:pt>
                <c:pt idx="394">
                  <c:v>165058.23999999999</c:v>
                </c:pt>
                <c:pt idx="395">
                  <c:v>58809.5</c:v>
                </c:pt>
                <c:pt idx="396">
                  <c:v>439266.33</c:v>
                </c:pt>
                <c:pt idx="397">
                  <c:v>7583.96</c:v>
                </c:pt>
                <c:pt idx="398">
                  <c:v>78808.86</c:v>
                </c:pt>
                <c:pt idx="399">
                  <c:v>3586.58</c:v>
                </c:pt>
                <c:pt idx="400">
                  <c:v>91115.3</c:v>
                </c:pt>
                <c:pt idx="401">
                  <c:v>306956.37</c:v>
                </c:pt>
                <c:pt idx="402">
                  <c:v>15617.29</c:v>
                </c:pt>
                <c:pt idx="403">
                  <c:v>72124.72</c:v>
                </c:pt>
                <c:pt idx="404">
                  <c:v>48389.919999999998</c:v>
                </c:pt>
                <c:pt idx="405">
                  <c:v>138761.82</c:v>
                </c:pt>
                <c:pt idx="406">
                  <c:v>22534.47</c:v>
                </c:pt>
                <c:pt idx="407">
                  <c:v>115016.4</c:v>
                </c:pt>
                <c:pt idx="408">
                  <c:v>33098.300000000003</c:v>
                </c:pt>
                <c:pt idx="409">
                  <c:v>28924.68</c:v>
                </c:pt>
                <c:pt idx="410">
                  <c:v>144413.9</c:v>
                </c:pt>
                <c:pt idx="411">
                  <c:v>158544.6</c:v>
                </c:pt>
                <c:pt idx="412">
                  <c:v>66336</c:v>
                </c:pt>
                <c:pt idx="413">
                  <c:v>190335.12</c:v>
                </c:pt>
                <c:pt idx="414">
                  <c:v>74970.27</c:v>
                </c:pt>
                <c:pt idx="415">
                  <c:v>160299.54</c:v>
                </c:pt>
                <c:pt idx="416">
                  <c:v>230511.44</c:v>
                </c:pt>
                <c:pt idx="417">
                  <c:v>4418.8599999999997</c:v>
                </c:pt>
                <c:pt idx="418">
                  <c:v>1144.78</c:v>
                </c:pt>
                <c:pt idx="419">
                  <c:v>132611.45000000001</c:v>
                </c:pt>
                <c:pt idx="420">
                  <c:v>51751.06</c:v>
                </c:pt>
                <c:pt idx="421">
                  <c:v>334585.34999999998</c:v>
                </c:pt>
                <c:pt idx="422">
                  <c:v>3156.7</c:v>
                </c:pt>
                <c:pt idx="423">
                  <c:v>30640.69</c:v>
                </c:pt>
                <c:pt idx="424">
                  <c:v>187463.04000000001</c:v>
                </c:pt>
                <c:pt idx="425">
                  <c:v>87892.59</c:v>
                </c:pt>
                <c:pt idx="426">
                  <c:v>203569.62</c:v>
                </c:pt>
                <c:pt idx="427">
                  <c:v>83144.7</c:v>
                </c:pt>
                <c:pt idx="428">
                  <c:v>268238.34000000003</c:v>
                </c:pt>
                <c:pt idx="429">
                  <c:v>110511.99</c:v>
                </c:pt>
                <c:pt idx="430">
                  <c:v>30364.5</c:v>
                </c:pt>
                <c:pt idx="431">
                  <c:v>84855.86</c:v>
                </c:pt>
                <c:pt idx="432">
                  <c:v>439972.2</c:v>
                </c:pt>
                <c:pt idx="433">
                  <c:v>28812.06</c:v>
                </c:pt>
                <c:pt idx="434">
                  <c:v>1229.02</c:v>
                </c:pt>
                <c:pt idx="435">
                  <c:v>88586.31</c:v>
                </c:pt>
                <c:pt idx="436">
                  <c:v>223776.99</c:v>
                </c:pt>
                <c:pt idx="437">
                  <c:v>93549.04</c:v>
                </c:pt>
                <c:pt idx="438">
                  <c:v>11976.34</c:v>
                </c:pt>
                <c:pt idx="439">
                  <c:v>3839.04</c:v>
                </c:pt>
                <c:pt idx="440">
                  <c:v>15733.65</c:v>
                </c:pt>
                <c:pt idx="441">
                  <c:v>236398.82</c:v>
                </c:pt>
                <c:pt idx="442">
                  <c:v>85028.43</c:v>
                </c:pt>
                <c:pt idx="443">
                  <c:v>242289.7</c:v>
                </c:pt>
                <c:pt idx="444">
                  <c:v>82193.5</c:v>
                </c:pt>
                <c:pt idx="445">
                  <c:v>174736.89</c:v>
                </c:pt>
                <c:pt idx="446">
                  <c:v>34616.519999999997</c:v>
                </c:pt>
                <c:pt idx="447">
                  <c:v>131685.75</c:v>
                </c:pt>
                <c:pt idx="448">
                  <c:v>439469.6</c:v>
                </c:pt>
                <c:pt idx="449">
                  <c:v>244608</c:v>
                </c:pt>
                <c:pt idx="450">
                  <c:v>226028.39</c:v>
                </c:pt>
                <c:pt idx="451">
                  <c:v>36307.74</c:v>
                </c:pt>
                <c:pt idx="452">
                  <c:v>5815.69</c:v>
                </c:pt>
                <c:pt idx="453">
                  <c:v>47927.360000000001</c:v>
                </c:pt>
                <c:pt idx="454">
                  <c:v>246529.68</c:v>
                </c:pt>
                <c:pt idx="455">
                  <c:v>91618.18</c:v>
                </c:pt>
                <c:pt idx="456">
                  <c:v>71273.3</c:v>
                </c:pt>
                <c:pt idx="457">
                  <c:v>372913.47</c:v>
                </c:pt>
                <c:pt idx="458">
                  <c:v>144969.64000000001</c:v>
                </c:pt>
                <c:pt idx="459">
                  <c:v>139084.79999999999</c:v>
                </c:pt>
                <c:pt idx="460">
                  <c:v>9009.36</c:v>
                </c:pt>
                <c:pt idx="461">
                  <c:v>216126.48</c:v>
                </c:pt>
                <c:pt idx="462">
                  <c:v>440456.6</c:v>
                </c:pt>
                <c:pt idx="463">
                  <c:v>124790.55</c:v>
                </c:pt>
                <c:pt idx="464">
                  <c:v>189183.33</c:v>
                </c:pt>
                <c:pt idx="465">
                  <c:v>170899.98</c:v>
                </c:pt>
                <c:pt idx="466">
                  <c:v>176483.04</c:v>
                </c:pt>
                <c:pt idx="467">
                  <c:v>153670.14000000001</c:v>
                </c:pt>
                <c:pt idx="468">
                  <c:v>42816.6</c:v>
                </c:pt>
                <c:pt idx="469">
                  <c:v>135856.56</c:v>
                </c:pt>
                <c:pt idx="470">
                  <c:v>324318.12</c:v>
                </c:pt>
                <c:pt idx="471">
                  <c:v>275300.2</c:v>
                </c:pt>
                <c:pt idx="472">
                  <c:v>48583.48</c:v>
                </c:pt>
                <c:pt idx="473">
                  <c:v>66288.95</c:v>
                </c:pt>
                <c:pt idx="474">
                  <c:v>163606.70000000001</c:v>
                </c:pt>
                <c:pt idx="475">
                  <c:v>242884.38</c:v>
                </c:pt>
                <c:pt idx="476">
                  <c:v>1495.14</c:v>
                </c:pt>
                <c:pt idx="477">
                  <c:v>70840.92</c:v>
                </c:pt>
                <c:pt idx="478">
                  <c:v>311660.71999999997</c:v>
                </c:pt>
                <c:pt idx="479">
                  <c:v>8286.5400000000009</c:v>
                </c:pt>
                <c:pt idx="480">
                  <c:v>67601.66</c:v>
                </c:pt>
                <c:pt idx="481">
                  <c:v>16453.599999999999</c:v>
                </c:pt>
                <c:pt idx="482">
                  <c:v>242974.8</c:v>
                </c:pt>
                <c:pt idx="483">
                  <c:v>45338.400000000001</c:v>
                </c:pt>
                <c:pt idx="484">
                  <c:v>278427.28000000003</c:v>
                </c:pt>
                <c:pt idx="485">
                  <c:v>82110.87</c:v>
                </c:pt>
                <c:pt idx="486">
                  <c:v>39406.86</c:v>
                </c:pt>
                <c:pt idx="487">
                  <c:v>249899.04</c:v>
                </c:pt>
                <c:pt idx="488">
                  <c:v>167677.65</c:v>
                </c:pt>
                <c:pt idx="489">
                  <c:v>432103.32</c:v>
                </c:pt>
                <c:pt idx="490">
                  <c:v>189759.6</c:v>
                </c:pt>
                <c:pt idx="491">
                  <c:v>111006.18</c:v>
                </c:pt>
                <c:pt idx="492">
                  <c:v>100147.38</c:v>
                </c:pt>
                <c:pt idx="493">
                  <c:v>81607.25</c:v>
                </c:pt>
                <c:pt idx="494">
                  <c:v>767.61</c:v>
                </c:pt>
                <c:pt idx="495">
                  <c:v>150898.88</c:v>
                </c:pt>
                <c:pt idx="496">
                  <c:v>95386.66</c:v>
                </c:pt>
                <c:pt idx="497">
                  <c:v>99704.97</c:v>
                </c:pt>
                <c:pt idx="498">
                  <c:v>65413.26</c:v>
                </c:pt>
                <c:pt idx="499">
                  <c:v>107028.9</c:v>
                </c:pt>
                <c:pt idx="500">
                  <c:v>26647.599999999999</c:v>
                </c:pt>
                <c:pt idx="501">
                  <c:v>110260.04</c:v>
                </c:pt>
                <c:pt idx="502">
                  <c:v>40225.629999999997</c:v>
                </c:pt>
                <c:pt idx="503">
                  <c:v>12494.97</c:v>
                </c:pt>
                <c:pt idx="504">
                  <c:v>121322.16</c:v>
                </c:pt>
                <c:pt idx="505">
                  <c:v>253864</c:v>
                </c:pt>
                <c:pt idx="506">
                  <c:v>23973.18</c:v>
                </c:pt>
                <c:pt idx="507">
                  <c:v>376981.83</c:v>
                </c:pt>
                <c:pt idx="508">
                  <c:v>70625.7</c:v>
                </c:pt>
                <c:pt idx="509">
                  <c:v>80289.8</c:v>
                </c:pt>
                <c:pt idx="510">
                  <c:v>348147.24</c:v>
                </c:pt>
                <c:pt idx="511">
                  <c:v>101845.28</c:v>
                </c:pt>
                <c:pt idx="512">
                  <c:v>30210.720000000001</c:v>
                </c:pt>
                <c:pt idx="513">
                  <c:v>252904.44</c:v>
                </c:pt>
                <c:pt idx="514">
                  <c:v>16249.69</c:v>
                </c:pt>
                <c:pt idx="515">
                  <c:v>98418.06</c:v>
                </c:pt>
                <c:pt idx="516">
                  <c:v>139534.07999999999</c:v>
                </c:pt>
                <c:pt idx="517">
                  <c:v>146639.60999999999</c:v>
                </c:pt>
                <c:pt idx="518">
                  <c:v>64916.12</c:v>
                </c:pt>
                <c:pt idx="519">
                  <c:v>288940.95</c:v>
                </c:pt>
                <c:pt idx="520">
                  <c:v>105954.6</c:v>
                </c:pt>
                <c:pt idx="521">
                  <c:v>47870.04</c:v>
                </c:pt>
                <c:pt idx="522">
                  <c:v>47848</c:v>
                </c:pt>
                <c:pt idx="523">
                  <c:v>5263.79</c:v>
                </c:pt>
                <c:pt idx="524">
                  <c:v>45333.96</c:v>
                </c:pt>
                <c:pt idx="525">
                  <c:v>97801.84</c:v>
                </c:pt>
                <c:pt idx="526">
                  <c:v>124324.34</c:v>
                </c:pt>
                <c:pt idx="527">
                  <c:v>48906.12</c:v>
                </c:pt>
                <c:pt idx="528">
                  <c:v>112630.77</c:v>
                </c:pt>
                <c:pt idx="529">
                  <c:v>40250.629999999997</c:v>
                </c:pt>
                <c:pt idx="530">
                  <c:v>144095.70000000001</c:v>
                </c:pt>
                <c:pt idx="531">
                  <c:v>362370.56</c:v>
                </c:pt>
                <c:pt idx="532">
                  <c:v>125182.65</c:v>
                </c:pt>
                <c:pt idx="533">
                  <c:v>107330.05</c:v>
                </c:pt>
                <c:pt idx="534">
                  <c:v>57013.62</c:v>
                </c:pt>
                <c:pt idx="535">
                  <c:v>184192.74</c:v>
                </c:pt>
                <c:pt idx="536">
                  <c:v>19382.82</c:v>
                </c:pt>
                <c:pt idx="537">
                  <c:v>81639.899999999994</c:v>
                </c:pt>
                <c:pt idx="538">
                  <c:v>54878.34</c:v>
                </c:pt>
                <c:pt idx="539">
                  <c:v>240883.83</c:v>
                </c:pt>
                <c:pt idx="540">
                  <c:v>48215.86</c:v>
                </c:pt>
                <c:pt idx="541">
                  <c:v>299334.78000000003</c:v>
                </c:pt>
                <c:pt idx="542">
                  <c:v>156203.51999999999</c:v>
                </c:pt>
                <c:pt idx="543">
                  <c:v>14634.25</c:v>
                </c:pt>
                <c:pt idx="544">
                  <c:v>231048.23</c:v>
                </c:pt>
                <c:pt idx="545">
                  <c:v>419975.28</c:v>
                </c:pt>
                <c:pt idx="546">
                  <c:v>32636.43</c:v>
                </c:pt>
                <c:pt idx="547">
                  <c:v>105473.12</c:v>
                </c:pt>
                <c:pt idx="548">
                  <c:v>207547.7</c:v>
                </c:pt>
                <c:pt idx="549">
                  <c:v>54089.48</c:v>
                </c:pt>
                <c:pt idx="550">
                  <c:v>70227.960000000006</c:v>
                </c:pt>
                <c:pt idx="551">
                  <c:v>190160.1</c:v>
                </c:pt>
                <c:pt idx="552">
                  <c:v>338531.22</c:v>
                </c:pt>
                <c:pt idx="553">
                  <c:v>74022.240000000005</c:v>
                </c:pt>
                <c:pt idx="554">
                  <c:v>126104.76</c:v>
                </c:pt>
                <c:pt idx="555">
                  <c:v>9639.44</c:v>
                </c:pt>
                <c:pt idx="556">
                  <c:v>254734.06</c:v>
                </c:pt>
                <c:pt idx="557">
                  <c:v>34604.6</c:v>
                </c:pt>
                <c:pt idx="558">
                  <c:v>66134.2</c:v>
                </c:pt>
                <c:pt idx="559">
                  <c:v>141401.85</c:v>
                </c:pt>
                <c:pt idx="560">
                  <c:v>6150.86</c:v>
                </c:pt>
                <c:pt idx="561">
                  <c:v>107697.64</c:v>
                </c:pt>
                <c:pt idx="562">
                  <c:v>18903.96</c:v>
                </c:pt>
                <c:pt idx="563">
                  <c:v>396906.8</c:v>
                </c:pt>
                <c:pt idx="564">
                  <c:v>217967.64</c:v>
                </c:pt>
                <c:pt idx="565">
                  <c:v>215478.9</c:v>
                </c:pt>
                <c:pt idx="566">
                  <c:v>261998.07999999999</c:v>
                </c:pt>
                <c:pt idx="567">
                  <c:v>432513</c:v>
                </c:pt>
                <c:pt idx="568">
                  <c:v>143245.35</c:v>
                </c:pt>
                <c:pt idx="569">
                  <c:v>65107.76</c:v>
                </c:pt>
                <c:pt idx="570">
                  <c:v>100104.3</c:v>
                </c:pt>
                <c:pt idx="571">
                  <c:v>78010.539999999994</c:v>
                </c:pt>
                <c:pt idx="572">
                  <c:v>98080.92</c:v>
                </c:pt>
                <c:pt idx="573">
                  <c:v>15439.6</c:v>
                </c:pt>
                <c:pt idx="574">
                  <c:v>294353.64</c:v>
                </c:pt>
                <c:pt idx="575">
                  <c:v>2892.4</c:v>
                </c:pt>
                <c:pt idx="576">
                  <c:v>107775.6</c:v>
                </c:pt>
                <c:pt idx="577">
                  <c:v>186072.9</c:v>
                </c:pt>
                <c:pt idx="578">
                  <c:v>211945.9</c:v>
                </c:pt>
                <c:pt idx="579">
                  <c:v>359775.2</c:v>
                </c:pt>
                <c:pt idx="580">
                  <c:v>104186</c:v>
                </c:pt>
                <c:pt idx="581">
                  <c:v>130702.11</c:v>
                </c:pt>
                <c:pt idx="582">
                  <c:v>97826.15</c:v>
                </c:pt>
                <c:pt idx="583">
                  <c:v>38212.75</c:v>
                </c:pt>
                <c:pt idx="584">
                  <c:v>154420</c:v>
                </c:pt>
                <c:pt idx="585">
                  <c:v>40148.6</c:v>
                </c:pt>
                <c:pt idx="586">
                  <c:v>10884.12</c:v>
                </c:pt>
                <c:pt idx="587">
                  <c:v>228955.74</c:v>
                </c:pt>
                <c:pt idx="588">
                  <c:v>18229</c:v>
                </c:pt>
                <c:pt idx="589">
                  <c:v>29313.46</c:v>
                </c:pt>
                <c:pt idx="590">
                  <c:v>3859.08</c:v>
                </c:pt>
                <c:pt idx="591">
                  <c:v>23787.599999999999</c:v>
                </c:pt>
                <c:pt idx="592">
                  <c:v>23934.94</c:v>
                </c:pt>
                <c:pt idx="593">
                  <c:v>141646.92000000001</c:v>
                </c:pt>
                <c:pt idx="594">
                  <c:v>15515.24</c:v>
                </c:pt>
                <c:pt idx="595">
                  <c:v>6280.83</c:v>
                </c:pt>
                <c:pt idx="596">
                  <c:v>208572.3</c:v>
                </c:pt>
                <c:pt idx="597">
                  <c:v>28766.560000000001</c:v>
                </c:pt>
                <c:pt idx="598">
                  <c:v>141013.88</c:v>
                </c:pt>
                <c:pt idx="599">
                  <c:v>153103.75</c:v>
                </c:pt>
                <c:pt idx="600">
                  <c:v>350597.34</c:v>
                </c:pt>
                <c:pt idx="601">
                  <c:v>15069.36</c:v>
                </c:pt>
                <c:pt idx="602">
                  <c:v>23158</c:v>
                </c:pt>
                <c:pt idx="603">
                  <c:v>370228.72</c:v>
                </c:pt>
                <c:pt idx="604">
                  <c:v>29540.26</c:v>
                </c:pt>
                <c:pt idx="605">
                  <c:v>270574.5</c:v>
                </c:pt>
                <c:pt idx="606">
                  <c:v>83149.52</c:v>
                </c:pt>
                <c:pt idx="607">
                  <c:v>155811.12</c:v>
                </c:pt>
                <c:pt idx="608">
                  <c:v>17070.849999999999</c:v>
                </c:pt>
                <c:pt idx="609">
                  <c:v>35903.14</c:v>
                </c:pt>
                <c:pt idx="610">
                  <c:v>47539.35</c:v>
                </c:pt>
                <c:pt idx="611">
                  <c:v>109792.04</c:v>
                </c:pt>
                <c:pt idx="612">
                  <c:v>22073.4</c:v>
                </c:pt>
                <c:pt idx="613">
                  <c:v>359892.18</c:v>
                </c:pt>
                <c:pt idx="614">
                  <c:v>69239.88</c:v>
                </c:pt>
                <c:pt idx="615">
                  <c:v>126402.03</c:v>
                </c:pt>
                <c:pt idx="616">
                  <c:v>87386.72</c:v>
                </c:pt>
                <c:pt idx="617">
                  <c:v>28362.94</c:v>
                </c:pt>
                <c:pt idx="618">
                  <c:v>115132.52</c:v>
                </c:pt>
                <c:pt idx="619">
                  <c:v>64865.3</c:v>
                </c:pt>
                <c:pt idx="620">
                  <c:v>119906.32</c:v>
                </c:pt>
                <c:pt idx="621">
                  <c:v>266207.48</c:v>
                </c:pt>
                <c:pt idx="622">
                  <c:v>482551.9</c:v>
                </c:pt>
                <c:pt idx="623">
                  <c:v>251740.53</c:v>
                </c:pt>
                <c:pt idx="624">
                  <c:v>420808.14</c:v>
                </c:pt>
                <c:pt idx="625">
                  <c:v>142398.54</c:v>
                </c:pt>
                <c:pt idx="626">
                  <c:v>33193.9</c:v>
                </c:pt>
                <c:pt idx="627">
                  <c:v>46021.88</c:v>
                </c:pt>
                <c:pt idx="628">
                  <c:v>318588.55</c:v>
                </c:pt>
                <c:pt idx="629">
                  <c:v>422321.22</c:v>
                </c:pt>
                <c:pt idx="630">
                  <c:v>112029.57</c:v>
                </c:pt>
                <c:pt idx="631">
                  <c:v>141759.6</c:v>
                </c:pt>
                <c:pt idx="632">
                  <c:v>58079.12</c:v>
                </c:pt>
                <c:pt idx="633">
                  <c:v>771.84</c:v>
                </c:pt>
                <c:pt idx="634">
                  <c:v>97167.28</c:v>
                </c:pt>
                <c:pt idx="635">
                  <c:v>51838.36</c:v>
                </c:pt>
                <c:pt idx="636">
                  <c:v>97529.68</c:v>
                </c:pt>
                <c:pt idx="637">
                  <c:v>3971.35</c:v>
                </c:pt>
                <c:pt idx="638">
                  <c:v>38696.65</c:v>
                </c:pt>
                <c:pt idx="639">
                  <c:v>34302.92</c:v>
                </c:pt>
                <c:pt idx="640">
                  <c:v>20626.25</c:v>
                </c:pt>
                <c:pt idx="641">
                  <c:v>355910.49</c:v>
                </c:pt>
                <c:pt idx="642">
                  <c:v>70470.990000000005</c:v>
                </c:pt>
                <c:pt idx="643">
                  <c:v>134060.64000000001</c:v>
                </c:pt>
                <c:pt idx="644">
                  <c:v>81396.850000000006</c:v>
                </c:pt>
                <c:pt idx="645">
                  <c:v>106265.28</c:v>
                </c:pt>
                <c:pt idx="646">
                  <c:v>11206.86</c:v>
                </c:pt>
                <c:pt idx="647">
                  <c:v>221067.8</c:v>
                </c:pt>
                <c:pt idx="648">
                  <c:v>22401.119999999999</c:v>
                </c:pt>
                <c:pt idx="649">
                  <c:v>192834.67</c:v>
                </c:pt>
                <c:pt idx="650">
                  <c:v>229527.7</c:v>
                </c:pt>
                <c:pt idx="651">
                  <c:v>211333.38</c:v>
                </c:pt>
                <c:pt idx="652">
                  <c:v>129925.28</c:v>
                </c:pt>
                <c:pt idx="653">
                  <c:v>12255.87</c:v>
                </c:pt>
                <c:pt idx="654">
                  <c:v>300593.15999999997</c:v>
                </c:pt>
                <c:pt idx="655">
                  <c:v>103074.8</c:v>
                </c:pt>
                <c:pt idx="656">
                  <c:v>462701.3</c:v>
                </c:pt>
                <c:pt idx="657">
                  <c:v>167620.15</c:v>
                </c:pt>
                <c:pt idx="658">
                  <c:v>76131.679999999993</c:v>
                </c:pt>
                <c:pt idx="659">
                  <c:v>84656.2</c:v>
                </c:pt>
                <c:pt idx="660">
                  <c:v>14491.62</c:v>
                </c:pt>
                <c:pt idx="661">
                  <c:v>175604.15</c:v>
                </c:pt>
                <c:pt idx="662">
                  <c:v>184654.44</c:v>
                </c:pt>
                <c:pt idx="663">
                  <c:v>191186.12</c:v>
                </c:pt>
                <c:pt idx="664">
                  <c:v>270087.15999999997</c:v>
                </c:pt>
                <c:pt idx="665">
                  <c:v>230210.46</c:v>
                </c:pt>
                <c:pt idx="666">
                  <c:v>193199.4</c:v>
                </c:pt>
                <c:pt idx="667">
                  <c:v>62003.61</c:v>
                </c:pt>
                <c:pt idx="668">
                  <c:v>412680.6</c:v>
                </c:pt>
                <c:pt idx="669">
                  <c:v>140328.85</c:v>
                </c:pt>
                <c:pt idx="670">
                  <c:v>202154</c:v>
                </c:pt>
                <c:pt idx="671">
                  <c:v>63231.28</c:v>
                </c:pt>
                <c:pt idx="672">
                  <c:v>17212.990000000002</c:v>
                </c:pt>
                <c:pt idx="673">
                  <c:v>14756.18</c:v>
                </c:pt>
                <c:pt idx="674">
                  <c:v>108470.6</c:v>
                </c:pt>
                <c:pt idx="675">
                  <c:v>45063.040000000001</c:v>
                </c:pt>
                <c:pt idx="676">
                  <c:v>84805.75</c:v>
                </c:pt>
                <c:pt idx="677">
                  <c:v>52501.23</c:v>
                </c:pt>
                <c:pt idx="678">
                  <c:v>237005.1</c:v>
                </c:pt>
                <c:pt idx="679">
                  <c:v>85364.44</c:v>
                </c:pt>
                <c:pt idx="680">
                  <c:v>392423.76</c:v>
                </c:pt>
                <c:pt idx="681">
                  <c:v>90746.36</c:v>
                </c:pt>
                <c:pt idx="682">
                  <c:v>172543</c:v>
                </c:pt>
                <c:pt idx="683">
                  <c:v>151195.45000000001</c:v>
                </c:pt>
                <c:pt idx="684">
                  <c:v>120078.24</c:v>
                </c:pt>
                <c:pt idx="685">
                  <c:v>121791.05</c:v>
                </c:pt>
                <c:pt idx="686">
                  <c:v>99838.56</c:v>
                </c:pt>
                <c:pt idx="687">
                  <c:v>144829.17000000001</c:v>
                </c:pt>
                <c:pt idx="688">
                  <c:v>360621.09</c:v>
                </c:pt>
                <c:pt idx="689">
                  <c:v>287434.34999999998</c:v>
                </c:pt>
                <c:pt idx="690">
                  <c:v>285282.83</c:v>
                </c:pt>
                <c:pt idx="691">
                  <c:v>458774.9</c:v>
                </c:pt>
                <c:pt idx="692">
                  <c:v>104971.05</c:v>
                </c:pt>
                <c:pt idx="693">
                  <c:v>6430.22</c:v>
                </c:pt>
                <c:pt idx="694">
                  <c:v>107745.36</c:v>
                </c:pt>
                <c:pt idx="695">
                  <c:v>265230.90000000002</c:v>
                </c:pt>
                <c:pt idx="696">
                  <c:v>124305.24</c:v>
                </c:pt>
                <c:pt idx="697">
                  <c:v>175457.4</c:v>
                </c:pt>
                <c:pt idx="698">
                  <c:v>106274.97</c:v>
                </c:pt>
                <c:pt idx="699">
                  <c:v>76256.639999999999</c:v>
                </c:pt>
                <c:pt idx="700">
                  <c:v>254006.73</c:v>
                </c:pt>
                <c:pt idx="701">
                  <c:v>130323.36</c:v>
                </c:pt>
                <c:pt idx="702">
                  <c:v>13705.83</c:v>
                </c:pt>
                <c:pt idx="703">
                  <c:v>34477.47</c:v>
                </c:pt>
                <c:pt idx="704">
                  <c:v>69756.240000000005</c:v>
                </c:pt>
                <c:pt idx="705">
                  <c:v>285180.93</c:v>
                </c:pt>
                <c:pt idx="706">
                  <c:v>74556.42</c:v>
                </c:pt>
                <c:pt idx="707">
                  <c:v>76084.800000000003</c:v>
                </c:pt>
                <c:pt idx="708">
                  <c:v>70818.679999999993</c:v>
                </c:pt>
                <c:pt idx="709">
                  <c:v>113673.3</c:v>
                </c:pt>
                <c:pt idx="710">
                  <c:v>217666.56</c:v>
                </c:pt>
                <c:pt idx="711">
                  <c:v>167313.48000000001</c:v>
                </c:pt>
                <c:pt idx="712">
                  <c:v>470798.6</c:v>
                </c:pt>
                <c:pt idx="713">
                  <c:v>60403.62</c:v>
                </c:pt>
                <c:pt idx="714">
                  <c:v>197341.68</c:v>
                </c:pt>
                <c:pt idx="715">
                  <c:v>39342.980000000003</c:v>
                </c:pt>
                <c:pt idx="716">
                  <c:v>210571.1</c:v>
                </c:pt>
                <c:pt idx="717">
                  <c:v>75059.95</c:v>
                </c:pt>
                <c:pt idx="718">
                  <c:v>170570.36</c:v>
                </c:pt>
                <c:pt idx="719">
                  <c:v>163012.74</c:v>
                </c:pt>
                <c:pt idx="720">
                  <c:v>220973.34</c:v>
                </c:pt>
                <c:pt idx="721">
                  <c:v>444016.4</c:v>
                </c:pt>
                <c:pt idx="722">
                  <c:v>10934.02</c:v>
                </c:pt>
                <c:pt idx="723">
                  <c:v>284448.64000000001</c:v>
                </c:pt>
                <c:pt idx="724">
                  <c:v>188413.61</c:v>
                </c:pt>
                <c:pt idx="725">
                  <c:v>122047.5</c:v>
                </c:pt>
                <c:pt idx="726">
                  <c:v>196003.1</c:v>
                </c:pt>
                <c:pt idx="727">
                  <c:v>120358.95</c:v>
                </c:pt>
                <c:pt idx="728">
                  <c:v>165937.79999999999</c:v>
                </c:pt>
                <c:pt idx="729">
                  <c:v>80421.119999999995</c:v>
                </c:pt>
                <c:pt idx="730">
                  <c:v>19202.88</c:v>
                </c:pt>
                <c:pt idx="731">
                  <c:v>162512.76</c:v>
                </c:pt>
                <c:pt idx="732">
                  <c:v>73387.62</c:v>
                </c:pt>
                <c:pt idx="733">
                  <c:v>152156.34</c:v>
                </c:pt>
                <c:pt idx="734">
                  <c:v>115263.96</c:v>
                </c:pt>
                <c:pt idx="735">
                  <c:v>2070.65</c:v>
                </c:pt>
                <c:pt idx="736">
                  <c:v>58568.76</c:v>
                </c:pt>
                <c:pt idx="737">
                  <c:v>77138.399999999994</c:v>
                </c:pt>
                <c:pt idx="738">
                  <c:v>84392.92</c:v>
                </c:pt>
                <c:pt idx="739">
                  <c:v>3753.78</c:v>
                </c:pt>
                <c:pt idx="740">
                  <c:v>63588.21</c:v>
                </c:pt>
                <c:pt idx="741">
                  <c:v>137878.74</c:v>
                </c:pt>
                <c:pt idx="742">
                  <c:v>69539.12</c:v>
                </c:pt>
                <c:pt idx="743">
                  <c:v>319922.96000000002</c:v>
                </c:pt>
                <c:pt idx="744">
                  <c:v>123894.12</c:v>
                </c:pt>
                <c:pt idx="745">
                  <c:v>245737.05</c:v>
                </c:pt>
                <c:pt idx="746">
                  <c:v>175335.5</c:v>
                </c:pt>
                <c:pt idx="747">
                  <c:v>92286.1</c:v>
                </c:pt>
                <c:pt idx="748">
                  <c:v>438080.6</c:v>
                </c:pt>
                <c:pt idx="749">
                  <c:v>146255.57999999999</c:v>
                </c:pt>
                <c:pt idx="750">
                  <c:v>139876.07999999999</c:v>
                </c:pt>
                <c:pt idx="751">
                  <c:v>17299.04</c:v>
                </c:pt>
                <c:pt idx="752">
                  <c:v>51372.25</c:v>
                </c:pt>
                <c:pt idx="753">
                  <c:v>242701.7</c:v>
                </c:pt>
                <c:pt idx="754">
                  <c:v>20669.3</c:v>
                </c:pt>
                <c:pt idx="755">
                  <c:v>133044.70000000001</c:v>
                </c:pt>
                <c:pt idx="756">
                  <c:v>47212.5</c:v>
                </c:pt>
                <c:pt idx="757">
                  <c:v>256986.2</c:v>
                </c:pt>
                <c:pt idx="758">
                  <c:v>257759.6</c:v>
                </c:pt>
                <c:pt idx="759">
                  <c:v>29862.400000000001</c:v>
                </c:pt>
                <c:pt idx="760">
                  <c:v>163132.56</c:v>
                </c:pt>
                <c:pt idx="761">
                  <c:v>89124.800000000003</c:v>
                </c:pt>
                <c:pt idx="762">
                  <c:v>492174.1</c:v>
                </c:pt>
                <c:pt idx="763">
                  <c:v>73262.460000000006</c:v>
                </c:pt>
                <c:pt idx="764">
                  <c:v>16650.75</c:v>
                </c:pt>
                <c:pt idx="765">
                  <c:v>12225.22</c:v>
                </c:pt>
                <c:pt idx="766">
                  <c:v>198199.5</c:v>
                </c:pt>
                <c:pt idx="767">
                  <c:v>42736.43</c:v>
                </c:pt>
                <c:pt idx="768">
                  <c:v>72852.100000000006</c:v>
                </c:pt>
                <c:pt idx="769">
                  <c:v>12121.61</c:v>
                </c:pt>
                <c:pt idx="770">
                  <c:v>59121.8</c:v>
                </c:pt>
                <c:pt idx="771">
                  <c:v>3953.8</c:v>
                </c:pt>
                <c:pt idx="772">
                  <c:v>92846.81</c:v>
                </c:pt>
                <c:pt idx="773">
                  <c:v>210141.3</c:v>
                </c:pt>
                <c:pt idx="774">
                  <c:v>86309</c:v>
                </c:pt>
                <c:pt idx="775">
                  <c:v>178545.48</c:v>
                </c:pt>
                <c:pt idx="776">
                  <c:v>91076.4</c:v>
                </c:pt>
                <c:pt idx="777">
                  <c:v>116728.5</c:v>
                </c:pt>
                <c:pt idx="778">
                  <c:v>64307.519999999997</c:v>
                </c:pt>
                <c:pt idx="779">
                  <c:v>47618.43</c:v>
                </c:pt>
                <c:pt idx="780">
                  <c:v>100442.24000000001</c:v>
                </c:pt>
                <c:pt idx="781">
                  <c:v>7179.39</c:v>
                </c:pt>
                <c:pt idx="782">
                  <c:v>75706.23</c:v>
                </c:pt>
                <c:pt idx="783">
                  <c:v>347736</c:v>
                </c:pt>
                <c:pt idx="784">
                  <c:v>321222.51</c:v>
                </c:pt>
                <c:pt idx="785">
                  <c:v>168646.62</c:v>
                </c:pt>
                <c:pt idx="786">
                  <c:v>237972.6</c:v>
                </c:pt>
                <c:pt idx="787">
                  <c:v>72667</c:v>
                </c:pt>
                <c:pt idx="788">
                  <c:v>110900.34</c:v>
                </c:pt>
                <c:pt idx="789">
                  <c:v>181783.2</c:v>
                </c:pt>
                <c:pt idx="790">
                  <c:v>56546.37</c:v>
                </c:pt>
                <c:pt idx="791">
                  <c:v>161565.20000000001</c:v>
                </c:pt>
                <c:pt idx="792">
                  <c:v>117472.56</c:v>
                </c:pt>
                <c:pt idx="793">
                  <c:v>61673.9</c:v>
                </c:pt>
                <c:pt idx="794">
                  <c:v>347158.53</c:v>
                </c:pt>
                <c:pt idx="795">
                  <c:v>113054.04</c:v>
                </c:pt>
                <c:pt idx="796">
                  <c:v>80473.399999999994</c:v>
                </c:pt>
                <c:pt idx="797">
                  <c:v>235460.7</c:v>
                </c:pt>
                <c:pt idx="798">
                  <c:v>158916.6</c:v>
                </c:pt>
                <c:pt idx="799">
                  <c:v>40350.67</c:v>
                </c:pt>
                <c:pt idx="800">
                  <c:v>47545.23</c:v>
                </c:pt>
                <c:pt idx="801">
                  <c:v>69219.64</c:v>
                </c:pt>
                <c:pt idx="802">
                  <c:v>102479.94</c:v>
                </c:pt>
                <c:pt idx="803">
                  <c:v>402956.64</c:v>
                </c:pt>
                <c:pt idx="804">
                  <c:v>324833.2</c:v>
                </c:pt>
                <c:pt idx="805">
                  <c:v>429297.21</c:v>
                </c:pt>
                <c:pt idx="806">
                  <c:v>46255.26</c:v>
                </c:pt>
                <c:pt idx="807">
                  <c:v>101295.36</c:v>
                </c:pt>
                <c:pt idx="808">
                  <c:v>193777.92000000001</c:v>
                </c:pt>
                <c:pt idx="809">
                  <c:v>45270.45</c:v>
                </c:pt>
                <c:pt idx="810">
                  <c:v>60395.06</c:v>
                </c:pt>
                <c:pt idx="811">
                  <c:v>83088.899999999994</c:v>
                </c:pt>
                <c:pt idx="812">
                  <c:v>340749.52</c:v>
                </c:pt>
                <c:pt idx="813">
                  <c:v>26771.99</c:v>
                </c:pt>
                <c:pt idx="814">
                  <c:v>285213.69</c:v>
                </c:pt>
                <c:pt idx="815">
                  <c:v>125483.1</c:v>
                </c:pt>
                <c:pt idx="816">
                  <c:v>252238.7</c:v>
                </c:pt>
                <c:pt idx="817">
                  <c:v>173173.12</c:v>
                </c:pt>
                <c:pt idx="818">
                  <c:v>21553.66</c:v>
                </c:pt>
                <c:pt idx="819">
                  <c:v>51456.6</c:v>
                </c:pt>
                <c:pt idx="820">
                  <c:v>21368.29</c:v>
                </c:pt>
                <c:pt idx="821">
                  <c:v>331893.24</c:v>
                </c:pt>
                <c:pt idx="822">
                  <c:v>10864.96</c:v>
                </c:pt>
                <c:pt idx="823">
                  <c:v>91726.26</c:v>
                </c:pt>
                <c:pt idx="824">
                  <c:v>241144.8</c:v>
                </c:pt>
                <c:pt idx="825">
                  <c:v>31849.439999999999</c:v>
                </c:pt>
                <c:pt idx="826">
                  <c:v>34742.76</c:v>
                </c:pt>
                <c:pt idx="827">
                  <c:v>99371.28</c:v>
                </c:pt>
                <c:pt idx="828">
                  <c:v>87368.960000000006</c:v>
                </c:pt>
                <c:pt idx="829">
                  <c:v>101689.05</c:v>
                </c:pt>
                <c:pt idx="830">
                  <c:v>126051.16</c:v>
                </c:pt>
                <c:pt idx="831">
                  <c:v>107664.42</c:v>
                </c:pt>
                <c:pt idx="832">
                  <c:v>42437.1</c:v>
                </c:pt>
                <c:pt idx="833">
                  <c:v>99559.14</c:v>
                </c:pt>
                <c:pt idx="834">
                  <c:v>122685.55</c:v>
                </c:pt>
                <c:pt idx="835">
                  <c:v>31957.88</c:v>
                </c:pt>
                <c:pt idx="836">
                  <c:v>58707.360000000001</c:v>
                </c:pt>
                <c:pt idx="837">
                  <c:v>235105.5</c:v>
                </c:pt>
                <c:pt idx="838">
                  <c:v>258727.23</c:v>
                </c:pt>
                <c:pt idx="839">
                  <c:v>350933.9</c:v>
                </c:pt>
                <c:pt idx="840">
                  <c:v>68529.179999999993</c:v>
                </c:pt>
                <c:pt idx="841">
                  <c:v>269519.53000000003</c:v>
                </c:pt>
                <c:pt idx="842">
                  <c:v>226417.1</c:v>
                </c:pt>
                <c:pt idx="843">
                  <c:v>222899.82</c:v>
                </c:pt>
                <c:pt idx="844">
                  <c:v>164965.29</c:v>
                </c:pt>
                <c:pt idx="845">
                  <c:v>15571.2</c:v>
                </c:pt>
                <c:pt idx="846">
                  <c:v>38929.370000000003</c:v>
                </c:pt>
                <c:pt idx="847">
                  <c:v>86715.66</c:v>
                </c:pt>
                <c:pt idx="848">
                  <c:v>270821.34000000003</c:v>
                </c:pt>
                <c:pt idx="849">
                  <c:v>30519.5</c:v>
                </c:pt>
                <c:pt idx="850">
                  <c:v>93190.71</c:v>
                </c:pt>
                <c:pt idx="851">
                  <c:v>55802.3</c:v>
                </c:pt>
                <c:pt idx="852">
                  <c:v>286879.52</c:v>
                </c:pt>
                <c:pt idx="853">
                  <c:v>239465</c:v>
                </c:pt>
                <c:pt idx="854">
                  <c:v>95992.04</c:v>
                </c:pt>
                <c:pt idx="855">
                  <c:v>42500.65</c:v>
                </c:pt>
                <c:pt idx="856">
                  <c:v>60346.48</c:v>
                </c:pt>
                <c:pt idx="857">
                  <c:v>31117.360000000001</c:v>
                </c:pt>
                <c:pt idx="858">
                  <c:v>215754.42</c:v>
                </c:pt>
                <c:pt idx="859">
                  <c:v>66300.429999999993</c:v>
                </c:pt>
                <c:pt idx="860">
                  <c:v>210619.12</c:v>
                </c:pt>
                <c:pt idx="861">
                  <c:v>434820.24</c:v>
                </c:pt>
                <c:pt idx="862">
                  <c:v>90435.839999999997</c:v>
                </c:pt>
                <c:pt idx="863">
                  <c:v>80260.42</c:v>
                </c:pt>
                <c:pt idx="864">
                  <c:v>1981.7</c:v>
                </c:pt>
                <c:pt idx="865">
                  <c:v>37605.65</c:v>
                </c:pt>
                <c:pt idx="866">
                  <c:v>40275.15</c:v>
                </c:pt>
                <c:pt idx="867">
                  <c:v>113053.32</c:v>
                </c:pt>
                <c:pt idx="868">
                  <c:v>51766.12</c:v>
                </c:pt>
                <c:pt idx="869">
                  <c:v>27918.98</c:v>
                </c:pt>
                <c:pt idx="870">
                  <c:v>64048.05</c:v>
                </c:pt>
                <c:pt idx="871">
                  <c:v>138242.6</c:v>
                </c:pt>
                <c:pt idx="872">
                  <c:v>197421.55</c:v>
                </c:pt>
                <c:pt idx="873">
                  <c:v>14505.96</c:v>
                </c:pt>
                <c:pt idx="874">
                  <c:v>200523.55</c:v>
                </c:pt>
                <c:pt idx="875">
                  <c:v>91718.44</c:v>
                </c:pt>
                <c:pt idx="876">
                  <c:v>237573.1</c:v>
                </c:pt>
                <c:pt idx="877">
                  <c:v>47389.09</c:v>
                </c:pt>
                <c:pt idx="878">
                  <c:v>14209.86</c:v>
                </c:pt>
                <c:pt idx="879">
                  <c:v>70861.06</c:v>
                </c:pt>
                <c:pt idx="880">
                  <c:v>358492.72</c:v>
                </c:pt>
                <c:pt idx="881">
                  <c:v>166613.70000000001</c:v>
                </c:pt>
                <c:pt idx="882">
                  <c:v>99449.279999999999</c:v>
                </c:pt>
                <c:pt idx="883">
                  <c:v>25767.919999999998</c:v>
                </c:pt>
                <c:pt idx="884">
                  <c:v>21572.48</c:v>
                </c:pt>
                <c:pt idx="885">
                  <c:v>310471.03999999998</c:v>
                </c:pt>
                <c:pt idx="886">
                  <c:v>13050.5</c:v>
                </c:pt>
                <c:pt idx="887">
                  <c:v>330496.46999999997</c:v>
                </c:pt>
                <c:pt idx="888">
                  <c:v>16506.48</c:v>
                </c:pt>
                <c:pt idx="889">
                  <c:v>181093.04</c:v>
                </c:pt>
                <c:pt idx="890">
                  <c:v>15061.67</c:v>
                </c:pt>
                <c:pt idx="891">
                  <c:v>92444.73</c:v>
                </c:pt>
                <c:pt idx="892">
                  <c:v>292060.48</c:v>
                </c:pt>
                <c:pt idx="893">
                  <c:v>31247.14</c:v>
                </c:pt>
                <c:pt idx="894">
                  <c:v>46050</c:v>
                </c:pt>
                <c:pt idx="895">
                  <c:v>64332.45</c:v>
                </c:pt>
                <c:pt idx="896">
                  <c:v>203288.64</c:v>
                </c:pt>
                <c:pt idx="897">
                  <c:v>282545.09999999998</c:v>
                </c:pt>
                <c:pt idx="898">
                  <c:v>25348.95</c:v>
                </c:pt>
                <c:pt idx="899">
                  <c:v>118857.45</c:v>
                </c:pt>
                <c:pt idx="900">
                  <c:v>297463.11</c:v>
                </c:pt>
                <c:pt idx="901">
                  <c:v>148435.74</c:v>
                </c:pt>
                <c:pt idx="902">
                  <c:v>129500.85</c:v>
                </c:pt>
                <c:pt idx="903">
                  <c:v>261678.42</c:v>
                </c:pt>
                <c:pt idx="904">
                  <c:v>40714.699999999997</c:v>
                </c:pt>
                <c:pt idx="905">
                  <c:v>200969.45</c:v>
                </c:pt>
                <c:pt idx="906">
                  <c:v>18127.66</c:v>
                </c:pt>
                <c:pt idx="907">
                  <c:v>109150.3</c:v>
                </c:pt>
                <c:pt idx="908">
                  <c:v>78848.08</c:v>
                </c:pt>
                <c:pt idx="909">
                  <c:v>61486.2</c:v>
                </c:pt>
                <c:pt idx="910">
                  <c:v>30394.74</c:v>
                </c:pt>
                <c:pt idx="911">
                  <c:v>20875.52</c:v>
                </c:pt>
                <c:pt idx="912">
                  <c:v>129458.07</c:v>
                </c:pt>
                <c:pt idx="913">
                  <c:v>3239.94</c:v>
                </c:pt>
                <c:pt idx="914">
                  <c:v>10625.65</c:v>
                </c:pt>
                <c:pt idx="915">
                  <c:v>90508.14</c:v>
                </c:pt>
                <c:pt idx="916">
                  <c:v>59828.92</c:v>
                </c:pt>
                <c:pt idx="917">
                  <c:v>154958.15</c:v>
                </c:pt>
                <c:pt idx="918">
                  <c:v>110596.22</c:v>
                </c:pt>
                <c:pt idx="919">
                  <c:v>62429.88</c:v>
                </c:pt>
                <c:pt idx="920">
                  <c:v>21496.95</c:v>
                </c:pt>
                <c:pt idx="921">
                  <c:v>299498.92</c:v>
                </c:pt>
                <c:pt idx="922">
                  <c:v>91236</c:v>
                </c:pt>
                <c:pt idx="923">
                  <c:v>215004.9</c:v>
                </c:pt>
                <c:pt idx="924">
                  <c:v>1961.91</c:v>
                </c:pt>
                <c:pt idx="925">
                  <c:v>11539.95</c:v>
                </c:pt>
                <c:pt idx="926">
                  <c:v>405225.6</c:v>
                </c:pt>
                <c:pt idx="927">
                  <c:v>159668.96</c:v>
                </c:pt>
                <c:pt idx="928">
                  <c:v>23886.69</c:v>
                </c:pt>
                <c:pt idx="929">
                  <c:v>46629.03</c:v>
                </c:pt>
                <c:pt idx="930">
                  <c:v>109913.8</c:v>
                </c:pt>
                <c:pt idx="931">
                  <c:v>39400.400000000001</c:v>
                </c:pt>
                <c:pt idx="932">
                  <c:v>280189.12</c:v>
                </c:pt>
                <c:pt idx="933">
                  <c:v>98774.399999999994</c:v>
                </c:pt>
                <c:pt idx="934">
                  <c:v>122431.8</c:v>
                </c:pt>
                <c:pt idx="935">
                  <c:v>76277.7</c:v>
                </c:pt>
                <c:pt idx="936">
                  <c:v>132438.18</c:v>
                </c:pt>
                <c:pt idx="937">
                  <c:v>217109.48</c:v>
                </c:pt>
                <c:pt idx="938">
                  <c:v>47743.08</c:v>
                </c:pt>
                <c:pt idx="939">
                  <c:v>127543.5</c:v>
                </c:pt>
                <c:pt idx="940">
                  <c:v>321187.65000000002</c:v>
                </c:pt>
                <c:pt idx="941">
                  <c:v>84954.25</c:v>
                </c:pt>
                <c:pt idx="942">
                  <c:v>40383.06</c:v>
                </c:pt>
                <c:pt idx="943">
                  <c:v>374935.6</c:v>
                </c:pt>
                <c:pt idx="944">
                  <c:v>162554.32</c:v>
                </c:pt>
                <c:pt idx="945">
                  <c:v>191143.08</c:v>
                </c:pt>
                <c:pt idx="946">
                  <c:v>8321.5400000000009</c:v>
                </c:pt>
                <c:pt idx="947">
                  <c:v>473144.2</c:v>
                </c:pt>
                <c:pt idx="948">
                  <c:v>311126.03999999998</c:v>
                </c:pt>
                <c:pt idx="949">
                  <c:v>237978.32</c:v>
                </c:pt>
                <c:pt idx="950">
                  <c:v>195601.44</c:v>
                </c:pt>
                <c:pt idx="951">
                  <c:v>55976.480000000003</c:v>
                </c:pt>
                <c:pt idx="952">
                  <c:v>212252.94</c:v>
                </c:pt>
                <c:pt idx="953">
                  <c:v>75415.95</c:v>
                </c:pt>
                <c:pt idx="954">
                  <c:v>76855.259999999995</c:v>
                </c:pt>
                <c:pt idx="955">
                  <c:v>126134.07</c:v>
                </c:pt>
                <c:pt idx="956">
                  <c:v>301283.73</c:v>
                </c:pt>
                <c:pt idx="957">
                  <c:v>146075.29999999999</c:v>
                </c:pt>
                <c:pt idx="958">
                  <c:v>34619.769999999997</c:v>
                </c:pt>
                <c:pt idx="959">
                  <c:v>301320.63</c:v>
                </c:pt>
                <c:pt idx="960">
                  <c:v>85329</c:v>
                </c:pt>
                <c:pt idx="961">
                  <c:v>223298.32</c:v>
                </c:pt>
                <c:pt idx="962">
                  <c:v>154238.45000000001</c:v>
                </c:pt>
                <c:pt idx="963">
                  <c:v>79157.2</c:v>
                </c:pt>
                <c:pt idx="964">
                  <c:v>280228.24</c:v>
                </c:pt>
                <c:pt idx="965">
                  <c:v>37727.1</c:v>
                </c:pt>
                <c:pt idx="966">
                  <c:v>98255.31</c:v>
                </c:pt>
                <c:pt idx="967">
                  <c:v>219795.57</c:v>
                </c:pt>
                <c:pt idx="968">
                  <c:v>31739.18</c:v>
                </c:pt>
                <c:pt idx="969">
                  <c:v>6976.56</c:v>
                </c:pt>
                <c:pt idx="970">
                  <c:v>39956.160000000003</c:v>
                </c:pt>
                <c:pt idx="971">
                  <c:v>431463.9</c:v>
                </c:pt>
                <c:pt idx="972">
                  <c:v>485667.8</c:v>
                </c:pt>
                <c:pt idx="973">
                  <c:v>37134.959999999999</c:v>
                </c:pt>
                <c:pt idx="974">
                  <c:v>140731.04999999999</c:v>
                </c:pt>
                <c:pt idx="975">
                  <c:v>25737.43</c:v>
                </c:pt>
                <c:pt idx="976">
                  <c:v>115969.35</c:v>
                </c:pt>
                <c:pt idx="977">
                  <c:v>267400.44</c:v>
                </c:pt>
                <c:pt idx="978">
                  <c:v>82567.7</c:v>
                </c:pt>
                <c:pt idx="979">
                  <c:v>30398.639999999999</c:v>
                </c:pt>
                <c:pt idx="980">
                  <c:v>468522</c:v>
                </c:pt>
                <c:pt idx="981">
                  <c:v>54039.78</c:v>
                </c:pt>
                <c:pt idx="982">
                  <c:v>144754.88</c:v>
                </c:pt>
                <c:pt idx="983">
                  <c:v>100553.37</c:v>
                </c:pt>
                <c:pt idx="984">
                  <c:v>3375.35</c:v>
                </c:pt>
                <c:pt idx="985">
                  <c:v>136560.28</c:v>
                </c:pt>
                <c:pt idx="986">
                  <c:v>34690.300000000003</c:v>
                </c:pt>
                <c:pt idx="987">
                  <c:v>93055.86</c:v>
                </c:pt>
                <c:pt idx="988">
                  <c:v>21819.5</c:v>
                </c:pt>
                <c:pt idx="989">
                  <c:v>105461.08</c:v>
                </c:pt>
                <c:pt idx="990">
                  <c:v>313519.95</c:v>
                </c:pt>
                <c:pt idx="991">
                  <c:v>357007.84</c:v>
                </c:pt>
                <c:pt idx="992">
                  <c:v>36396.699999999997</c:v>
                </c:pt>
                <c:pt idx="993">
                  <c:v>37930.19</c:v>
                </c:pt>
                <c:pt idx="994">
                  <c:v>398903.76</c:v>
                </c:pt>
                <c:pt idx="995">
                  <c:v>318649.86</c:v>
                </c:pt>
                <c:pt idx="996">
                  <c:v>92273.25</c:v>
                </c:pt>
                <c:pt idx="997">
                  <c:v>116744.31</c:v>
                </c:pt>
                <c:pt idx="998">
                  <c:v>25911.09</c:v>
                </c:pt>
                <c:pt idx="999">
                  <c:v>202444.83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98-40DB-8A28-8C9AF3AFF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818848"/>
        <c:axId val="581224400"/>
      </c:scatterChart>
      <c:valAx>
        <c:axId val="7148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24400"/>
        <c:crosses val="autoZero"/>
        <c:crossBetween val="midCat"/>
      </c:valAx>
      <c:valAx>
        <c:axId val="5812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Age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AEE6-4EFE-A830-5C32E5C27A8E}">
          <cx:tx>
            <cx:txData>
              <cx:f>_xlchart.v1.4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Quantity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DA67-491D-911C-F5CB7FE9A5BA}">
          <cx:tx>
            <cx:txData>
              <cx:f>_xlchart.v1.2</cx:f>
              <cx:v>Quantity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Unit Price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D116-4FC5-84A1-A1A7CF10C574}">
          <cx:tx>
            <cx:txData>
              <cx:f>_xlchart.v1.0</cx:f>
              <cx:v> Unit_Price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Total Sales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674F-4332-B9D1-6FD15AF1A0AE}">
          <cx:tx>
            <cx:txData>
              <cx:f>_xlchart.v1.6</cx:f>
              <cx:v>TotalSales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10</xdr:row>
      <xdr:rowOff>166687</xdr:rowOff>
    </xdr:from>
    <xdr:to>
      <xdr:col>10</xdr:col>
      <xdr:colOff>523875</xdr:colOff>
      <xdr:row>25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B0E29-0EB2-6925-281D-78ED4E89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10</xdr:row>
      <xdr:rowOff>171450</xdr:rowOff>
    </xdr:from>
    <xdr:to>
      <xdr:col>10</xdr:col>
      <xdr:colOff>523875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3DF55-470D-54A9-2469-E734B7C18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0</xdr:rowOff>
    </xdr:from>
    <xdr:to>
      <xdr:col>9</xdr:col>
      <xdr:colOff>295275</xdr:colOff>
      <xdr:row>19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4DFB4B-8F01-41A7-82CC-8868302DDE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675" y="952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19050</xdr:colOff>
      <xdr:row>5</xdr:row>
      <xdr:rowOff>28575</xdr:rowOff>
    </xdr:from>
    <xdr:to>
      <xdr:col>17</xdr:col>
      <xdr:colOff>323850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687A397-D6E4-44CC-BFD5-D33B45D41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5050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28575</xdr:colOff>
      <xdr:row>5</xdr:row>
      <xdr:rowOff>76200</xdr:rowOff>
    </xdr:from>
    <xdr:to>
      <xdr:col>25</xdr:col>
      <xdr:colOff>333375</xdr:colOff>
      <xdr:row>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4D0116B-8288-450F-9A79-1F9279BB4D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1375" y="1028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485775</xdr:colOff>
      <xdr:row>21</xdr:row>
      <xdr:rowOff>57150</xdr:rowOff>
    </xdr:from>
    <xdr:to>
      <xdr:col>18</xdr:col>
      <xdr:colOff>180975</xdr:colOff>
      <xdr:row>35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5F6CE69-39CA-4E3A-BA18-1DEB63259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1775" y="4057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9525</xdr:rowOff>
    </xdr:from>
    <xdr:to>
      <xdr:col>10</xdr:col>
      <xdr:colOff>600075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A23B3-1135-7C33-B022-D24B7394A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0</xdr:row>
      <xdr:rowOff>180975</xdr:rowOff>
    </xdr:from>
    <xdr:to>
      <xdr:col>23</xdr:col>
      <xdr:colOff>9525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4D6EF6-00C7-AB06-30C8-20DCC4CCF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590550</xdr:colOff>
      <xdr:row>18</xdr:row>
      <xdr:rowOff>180975</xdr:rowOff>
    </xdr:from>
    <xdr:to>
      <xdr:col>22</xdr:col>
      <xdr:colOff>590550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55DA3-4B48-5721-6DE3-A9DF77884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600074</xdr:colOff>
      <xdr:row>19</xdr:row>
      <xdr:rowOff>0</xdr:rowOff>
    </xdr:from>
    <xdr:to>
      <xdr:col>10</xdr:col>
      <xdr:colOff>609599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ABDE3-63FA-AF64-95DE-DE4616B6E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11013</xdr:rowOff>
    </xdr:from>
    <xdr:to>
      <xdr:col>3</xdr:col>
      <xdr:colOff>317004</xdr:colOff>
      <xdr:row>26</xdr:row>
      <xdr:rowOff>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3224D-98DD-4892-A190-7DC738168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26</xdr:row>
      <xdr:rowOff>76200</xdr:rowOff>
    </xdr:from>
    <xdr:to>
      <xdr:col>7</xdr:col>
      <xdr:colOff>352425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6107A9-FCED-4937-9F63-26F0B1C83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6</xdr:col>
      <xdr:colOff>428625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0E9A10-77D3-48E9-8D2C-DFC29E010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61</xdr:row>
      <xdr:rowOff>19050</xdr:rowOff>
    </xdr:from>
    <xdr:to>
      <xdr:col>6</xdr:col>
      <xdr:colOff>466725</xdr:colOff>
      <xdr:row>75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E395DC-68C3-4DD4-94C6-45E3F3291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996910</xdr:colOff>
      <xdr:row>9</xdr:row>
      <xdr:rowOff>9719</xdr:rowOff>
    </xdr:from>
    <xdr:to>
      <xdr:col>5</xdr:col>
      <xdr:colOff>448</xdr:colOff>
      <xdr:row>21</xdr:row>
      <xdr:rowOff>85920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7E487-70CE-4452-B06D-0AC78EFF4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826595</xdr:colOff>
      <xdr:row>27</xdr:row>
      <xdr:rowOff>11685</xdr:rowOff>
    </xdr:from>
    <xdr:to>
      <xdr:col>5</xdr:col>
      <xdr:colOff>344483</xdr:colOff>
      <xdr:row>42</xdr:row>
      <xdr:rowOff>11685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328E90-F951-4ECD-B5FE-7D0960485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4846</xdr:colOff>
      <xdr:row>8</xdr:row>
      <xdr:rowOff>317027</xdr:rowOff>
    </xdr:from>
    <xdr:to>
      <xdr:col>19</xdr:col>
      <xdr:colOff>39860</xdr:colOff>
      <xdr:row>24</xdr:row>
      <xdr:rowOff>9720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5120C6-4C44-4494-8022-C447A3DEE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27</xdr:row>
      <xdr:rowOff>10702</xdr:rowOff>
    </xdr:from>
    <xdr:to>
      <xdr:col>17</xdr:col>
      <xdr:colOff>588624</xdr:colOff>
      <xdr:row>41</xdr:row>
      <xdr:rowOff>160533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A7F25A-57A8-4F7E-AEDC-0D359AF8E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0</xdr:rowOff>
    </xdr:from>
    <xdr:to>
      <xdr:col>11</xdr:col>
      <xdr:colOff>600075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0E700-2AE7-4CC6-A846-285E9275B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600074</xdr:colOff>
      <xdr:row>17</xdr:row>
      <xdr:rowOff>180975</xdr:rowOff>
    </xdr:from>
    <xdr:to>
      <xdr:col>11</xdr:col>
      <xdr:colOff>609599</xdr:colOff>
      <xdr:row>32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D291C-D048-4D5A-A08F-53C412598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9524</xdr:colOff>
      <xdr:row>1</xdr:row>
      <xdr:rowOff>0</xdr:rowOff>
    </xdr:from>
    <xdr:to>
      <xdr:col>21</xdr:col>
      <xdr:colOff>609599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956228-5989-4625-ADC3-2C806D966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8.92390011574" createdVersion="8" refreshedVersion="8" minRefreshableVersion="3" recordCount="1001" xr:uid="{92263A68-EA54-42DF-A8E1-EE5929836BD2}">
  <cacheSource type="worksheet">
    <worksheetSource ref="A1:L1048576" sheet="Cleaned_Sales_Dataset"/>
  </cacheSource>
  <cacheFields count="12">
    <cacheField name="Order_ID" numFmtId="0">
      <sharedItems containsBlank="1" count="993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m/>
      </sharedItems>
    </cacheField>
    <cacheField name="Order_Date" numFmtId="0">
      <sharedItems containsBlank="1" count="343">
        <s v="2025-02-25"/>
        <s v="2025-10-14"/>
        <s v="2025-05-13"/>
        <s v="2025-12-02"/>
        <s v="2025-11-20"/>
        <s v="2025-12-31"/>
        <s v="2025-12-05"/>
        <s v="2025-11-21"/>
        <s v="2025-04-16"/>
        <s v="2025-05-05"/>
        <s v="2025-05-02"/>
        <s v="2025-05-06"/>
        <s v="2025-04-24"/>
        <s v="2025-03-12"/>
        <s v="2025-08-30"/>
        <s v="2025-11-30"/>
        <s v="2025-10-19"/>
        <s v="2025-07-24"/>
        <s v="2025-03-20"/>
        <s v="2025-03-18"/>
        <s v="2025-10-04"/>
        <s v="2025-11-23"/>
        <s v="2025-09-14"/>
        <s v="2025-03-16"/>
        <s v="2025-04-10"/>
        <s v="2025-08-01"/>
        <s v="2025-08-10"/>
        <s v="2025-02-05"/>
        <s v="2025-08-09"/>
        <s v="2025-10-22"/>
        <s v="2025-12-04"/>
        <s v="2025-05-03"/>
        <s v="2025-03-08"/>
        <s v="2025-02-07"/>
        <s v="2025-02-20"/>
        <s v="2025-10-20"/>
        <s v="2025-03-07"/>
        <s v="2025-04-21"/>
        <s v="2025-05-31"/>
        <s v="2025-04-20"/>
        <s v="2025-09-22"/>
        <s v="2025-07-04"/>
        <s v="2025-04-26"/>
        <s v="2025-05-11"/>
        <s v="2025-09-02"/>
        <s v="2025-10-25"/>
        <s v="2025-10-03"/>
        <s v="2025-02-27"/>
        <s v="2025-09-09"/>
        <s v="2025-06-08"/>
        <s v="2025-07-07"/>
        <s v="2025-11-16"/>
        <s v="2025-12-07"/>
        <s v="2025-12-12"/>
        <s v="2025-01-15"/>
        <s v="2025-11-08"/>
        <s v="2025-07-06"/>
        <s v="2025-07-15"/>
        <s v="2025-09-26"/>
        <s v="2025-05-16"/>
        <s v="2025-07-25"/>
        <s v="2025-01-30"/>
        <s v="2025-06-24"/>
        <s v="2025-08-15"/>
        <s v="2025-10-21"/>
        <s v="2025-08-25"/>
        <s v="2025-06-19"/>
        <s v="2025-03-30"/>
        <s v="2025-12-30"/>
        <s v="2025-12-27"/>
        <s v="2025-04-14"/>
        <s v="2026-01-01"/>
        <s v="2025-08-21"/>
        <s v="2025-03-05"/>
        <s v="2025-09-01"/>
        <s v="2025-01-06"/>
        <s v="2025-10-24"/>
        <s v="2025-08-24"/>
        <s v="2025-03-17"/>
        <s v="2025-12-17"/>
        <s v="2025-10-29"/>
        <s v="2025-12-15"/>
        <s v="2025-12-24"/>
        <s v="2025-04-28"/>
        <s v="2025-11-07"/>
        <s v="2025-02-19"/>
        <s v="2025-11-12"/>
        <s v="2025-01-22"/>
        <s v="2025-02-13"/>
        <s v="2025-11-02"/>
        <s v="2025-10-05"/>
        <s v="2025-12-19"/>
        <s v="2025-01-14"/>
        <s v="2025-10-26"/>
        <s v="2025-09-18"/>
        <s v="2025-10-15"/>
        <s v="2025-09-04"/>
        <s v="2025-03-01"/>
        <s v="2025-01-17"/>
        <s v="2025-07-11"/>
        <s v="2025-03-27"/>
        <s v="2025-05-19"/>
        <s v="2025-12-22"/>
        <s v="2025-07-08"/>
        <s v="2025-06-13"/>
        <s v="2025-03-04"/>
        <s v="2025-03-09"/>
        <s v="2025-11-29"/>
        <s v="2025-03-25"/>
        <s v="2025-02-10"/>
        <s v="2025-03-10"/>
        <s v="2025-03-21"/>
        <s v="2025-05-30"/>
        <s v="2025-11-27"/>
        <s v="2025-04-04"/>
        <s v="2025-01-25"/>
        <s v="2025-07-31"/>
        <s v="2025-06-30"/>
        <s v="2025-12-06"/>
        <s v="2025-09-17"/>
        <s v="2025-04-01"/>
        <s v="2025-09-13"/>
        <s v="2025-02-08"/>
        <s v="2025-06-26"/>
        <s v="2025-07-22"/>
        <s v="2025-03-11"/>
        <s v="2025-08-31"/>
        <s v="2025-02-16"/>
        <s v="2025-09-20"/>
        <s v="2025-06-03"/>
        <s v="2025-11-04"/>
        <s v="2025-01-07"/>
        <s v="2025-03-03"/>
        <s v="2025-08-06"/>
        <s v="2025-01-20"/>
        <s v="2025-05-10"/>
        <s v="2025-01-26"/>
        <s v="2025-04-08"/>
        <s v="2025-06-07"/>
        <s v="2025-01-11"/>
        <s v="2025-06-04"/>
        <s v="2025-06-21"/>
        <s v="2025-07-01"/>
        <s v="2025-10-31"/>
        <s v="2025-11-14"/>
        <s v="2025-04-27"/>
        <s v="2025-09-08"/>
        <s v="2025-02-26"/>
        <s v="2025-06-05"/>
        <s v="2025-11-19"/>
        <s v="2025-01-04"/>
        <s v="2025-02-24"/>
        <s v="2025-12-23"/>
        <s v="2025-12-16"/>
        <s v="2025-04-05"/>
        <s v="2025-11-09"/>
        <s v="2025-07-18"/>
        <s v="2025-03-23"/>
        <s v="2025-10-07"/>
        <s v="2025-01-13"/>
        <s v="2025-07-13"/>
        <s v="2025-01-10"/>
        <s v="2025-04-07"/>
        <s v="2025-11-01"/>
        <s v="2025-04-11"/>
        <s v="2025-09-05"/>
        <s v="2025-06-25"/>
        <s v="2025-02-04"/>
        <s v="2025-02-23"/>
        <s v="2025-02-12"/>
        <s v="2025-05-04"/>
        <s v="2025-09-21"/>
        <s v="2025-02-09"/>
        <s v="2025-01-23"/>
        <s v="2025-12-20"/>
        <s v="2025-04-02"/>
        <s v="2025-08-28"/>
        <s v="2025-08-17"/>
        <s v="2025-09-10"/>
        <s v="2025-06-18"/>
        <s v="2025-07-09"/>
        <s v="2025-10-28"/>
        <s v="2025-06-22"/>
        <s v="2025-04-18"/>
        <s v="2025-11-26"/>
        <s v="2025-12-26"/>
        <s v="2025-08-03"/>
        <s v="2025-09-11"/>
        <s v="2025-09-06"/>
        <s v="2025-09-30"/>
        <s v="2025-08-19"/>
        <s v="2025-12-28"/>
        <s v="2025-01-09"/>
        <s v="2025-05-09"/>
        <s v="2025-10-17"/>
        <s v="2025-10-23"/>
        <s v="2025-04-06"/>
        <s v="2025-03-02"/>
        <s v="2025-11-18"/>
        <s v="2025-07-28"/>
        <s v="2025-09-12"/>
        <s v="2025-08-27"/>
        <s v="2025-08-02"/>
        <s v="2025-07-29"/>
        <s v="2025-05-07"/>
        <s v="2025-07-20"/>
        <s v="2025-08-26"/>
        <s v="2025-05-27"/>
        <s v="2025-04-12"/>
        <s v="2025-02-03"/>
        <s v="2025-07-23"/>
        <s v="2025-01-29"/>
        <s v="2025-10-16"/>
        <s v="2025-01-28"/>
        <s v="2025-12-18"/>
        <s v="2025-05-01"/>
        <s v="2025-07-16"/>
        <s v="2025-03-26"/>
        <s v="2025-08-11"/>
        <s v="2025-02-11"/>
        <s v="2025-10-01"/>
        <s v="2025-04-30"/>
        <s v="2025-03-13"/>
        <s v="2025-09-07"/>
        <s v="2025-06-06"/>
        <s v="2025-06-12"/>
        <s v="2025-09-25"/>
        <s v="2025-06-15"/>
        <s v="2025-01-18"/>
        <s v="2025-02-28"/>
        <s v="2025-09-29"/>
        <s v="2025-11-24"/>
        <s v="2025-06-17"/>
        <s v="2025-11-22"/>
        <s v="2025-06-14"/>
        <s v="2025-02-22"/>
        <s v="2025-06-29"/>
        <s v="2025-12-03"/>
        <s v="2025-01-16"/>
        <s v="2025-05-12"/>
        <s v="2025-04-03"/>
        <s v="2025-02-14"/>
        <s v="2025-08-08"/>
        <s v="2025-07-21"/>
        <s v="2025-06-10"/>
        <s v="2025-01-05"/>
        <s v="2025-05-28"/>
        <s v="2025-12-13"/>
        <s v="2025-05-26"/>
        <s v="2025-06-16"/>
        <s v="2025-02-02"/>
        <s v="2025-09-15"/>
        <s v="2025-02-17"/>
        <s v="2025-04-17"/>
        <s v="2025-03-22"/>
        <s v="2025-04-25"/>
        <s v="2025-07-30"/>
        <s v="2025-04-15"/>
        <s v="2025-03-19"/>
        <s v="2025-12-08"/>
        <s v="2025-08-22"/>
        <s v="2025-10-09"/>
        <s v="2025-12-25"/>
        <s v="2025-11-15"/>
        <s v="2025-05-29"/>
        <s v="2025-06-02"/>
        <s v="2025-11-06"/>
        <s v="2025-07-05"/>
        <s v="2025-05-15"/>
        <s v="2025-12-14"/>
        <s v="2025-11-17"/>
        <s v="2025-09-16"/>
        <s v="2025-12-10"/>
        <s v="2025-07-03"/>
        <s v="2025-12-09"/>
        <s v="2025-10-02"/>
        <s v="2025-12-29"/>
        <s v="2025-10-12"/>
        <s v="2025-04-13"/>
        <s v="2025-04-19"/>
        <s v="2025-06-20"/>
        <s v="2025-09-24"/>
        <s v="2025-06-27"/>
        <s v="2025-01-01"/>
        <s v="2025-08-04"/>
        <s v="2025-03-28"/>
        <s v="2025-02-21"/>
        <s v="2025-07-27"/>
        <s v="2025-12-21"/>
        <s v="2025-04-09"/>
        <s v="2025-06-01"/>
        <s v="2025-07-14"/>
        <s v="2025-10-11"/>
        <s v="2025-05-08"/>
        <s v="2025-10-13"/>
        <s v="2025-08-29"/>
        <s v="2025-01-31"/>
        <s v="2025-12-01"/>
        <s v="2025-07-12"/>
        <s v="2025-08-13"/>
        <s v="2025-04-29"/>
        <s v="2025-11-13"/>
        <s v="2025-11-11"/>
        <s v="2025-05-20"/>
        <s v="2025-08-18"/>
        <s v="2025-05-14"/>
        <s v="2025-10-06"/>
        <s v="2025-04-23"/>
        <s v="2025-05-24"/>
        <s v="2025-11-28"/>
        <s v="2025-10-10"/>
        <s v="2025-01-27"/>
        <s v="2025-09-23"/>
        <s v="2025-04-22"/>
        <s v="2025-09-19"/>
        <s v="2025-01-24"/>
        <s v="2025-03-31"/>
        <s v="2025-01-08"/>
        <s v="2025-12-11"/>
        <s v="2025-09-03"/>
        <s v="2025-05-21"/>
        <s v="2025-09-27"/>
        <s v="2025-05-22"/>
        <s v="2025-03-29"/>
        <s v="2025-11-03"/>
        <s v="2025-08-16"/>
        <s v="2025-11-05"/>
        <s v="2025-07-10"/>
        <s v="2025-09-28"/>
        <s v="2025-11-25"/>
        <s v="2025-05-18"/>
        <s v="2025-10-08"/>
        <s v="2025-08-12"/>
        <s v="2025-01-19"/>
        <s v="2025-01-21"/>
        <s v="2025-11-10"/>
        <s v="2025-06-11"/>
        <s v="2025-06-28"/>
        <s v="2025-05-17"/>
        <s v="2025-02-15"/>
        <s v="2025-10-18"/>
        <s v="2025-08-20"/>
        <m/>
      </sharedItems>
    </cacheField>
    <cacheField name="Customer_ID" numFmtId="0">
      <sharedItems containsBlank="1" count="948">
        <s v="CUST5529"/>
        <s v="CUST3127"/>
        <s v="CUST8887"/>
        <s v="CUST2515"/>
        <s v="CUST4796"/>
        <s v="CUST3952"/>
        <s v="CUST1758"/>
        <s v="CUST9622"/>
        <s v="CUST9770"/>
        <s v="CUST1312"/>
        <s v="CUST9642"/>
        <s v="CUST3228"/>
        <s v="CUST1038"/>
        <s v="CUST6413"/>
        <s v="CUST8660"/>
        <s v="CUST9307"/>
        <s v="CUST4363"/>
        <s v="CUST3508"/>
        <s v="CUST5806"/>
        <s v="CUST6504"/>
        <s v="CUST8908"/>
        <s v="CUST2903"/>
        <s v="CUST1406"/>
        <s v="CUST8036"/>
        <s v="CUST6532"/>
        <s v="CUST2482"/>
        <s v="CUST2003"/>
        <s v="CUST6149"/>
        <s v="CUST3688"/>
        <s v="CUST3212"/>
        <s v="CUST5063"/>
        <s v="CUST9565"/>
        <s v="CUST9325"/>
        <s v="CUST4002"/>
        <s v="CUST8975"/>
        <s v="CUST2669"/>
        <s v="CUST5869"/>
        <s v="CUST7249"/>
        <s v="CUST7465"/>
        <s v="CUST7988"/>
        <s v="CUST9953"/>
        <s v="CUST6938"/>
        <s v="CUST3006"/>
        <s v="CUST5151"/>
        <s v="CUST5903"/>
        <s v="CUST4943"/>
        <s v="CUST4750"/>
        <s v="CUST2705"/>
        <s v="CUST5523"/>
        <s v="CUST1557"/>
        <s v="CUST2062"/>
        <s v="CUST9203"/>
        <s v="CUST8053"/>
        <s v="CUST1017"/>
        <s v="CUST2690"/>
        <s v="CUST2791"/>
        <s v="CUST4496"/>
        <s v="CUST8811"/>
        <s v="CUST2411"/>
        <s v="CUST2350"/>
        <s v="CUST9745"/>
        <s v="CUST6236"/>
        <s v="CUST1887"/>
        <s v="CUST5386"/>
        <s v="CUST8065"/>
        <s v="CUST8841"/>
        <s v="CUST5871"/>
        <s v="CUST9869"/>
        <s v="CUST9017"/>
        <s v="CUST1808"/>
        <s v="CUST2565"/>
        <s v="CUST4958"/>
        <s v="CUST7587"/>
        <s v="CUST2157"/>
        <s v="CUST8430"/>
        <s v="CUST1956"/>
        <s v="CUST9846"/>
        <s v="CUST4706"/>
        <s v="CUST5607"/>
        <s v="CUST8211"/>
        <s v="CUST5367"/>
        <s v="CUST8346"/>
        <s v="CUST7484"/>
        <s v="CUST7911"/>
        <s v="CUST4229"/>
        <s v="CUST2290"/>
        <s v="CUST1246"/>
        <s v="CUST3689"/>
        <s v="CUST7476"/>
        <s v="CUST7037"/>
        <s v="CUST8578"/>
        <s v="CUST6618"/>
        <s v="CUST4650"/>
        <s v="CUST5091"/>
        <s v="CUST2190"/>
        <s v="CUST7277"/>
        <s v="CUST8623"/>
        <s v="CUST5232"/>
        <s v="CUST7462"/>
        <s v="CUST7588"/>
        <s v="CUST5005"/>
        <s v="CUST3210"/>
        <s v="CUST5926"/>
        <s v="CUST3809"/>
        <s v="CUST2079"/>
        <s v="CUST4881"/>
        <s v="CUST6707"/>
        <s v="CUST2796"/>
        <s v="CUST5524"/>
        <s v="CUST9882"/>
        <s v="CUST3001"/>
        <s v="CUST5433"/>
        <s v="CUST3794"/>
        <s v="CUST2345"/>
        <s v="CUST8316"/>
        <s v="CUST9354"/>
        <s v="CUST2871"/>
        <s v="CUST7341"/>
        <s v="CUST3194"/>
        <s v="CUST9563"/>
        <s v="CUST2286"/>
        <s v="CUST2423"/>
        <s v="CUST2378"/>
        <s v="CUST6995"/>
        <s v="CUST3677"/>
        <s v="CUST6627"/>
        <s v="CUST6238"/>
        <s v="CUST8352"/>
        <s v="CUST2870"/>
        <s v="CUST4751"/>
        <s v="CUST7031"/>
        <s v="CUST8366"/>
        <s v="CUST2863"/>
        <s v="CUST8298"/>
        <s v="CUST9577"/>
        <s v="CUST3054"/>
        <s v="CUST6791"/>
        <s v="CUST7062"/>
        <s v="CUST6625"/>
        <s v="CUST4824"/>
        <s v="CUST1339"/>
        <s v="CUST1113"/>
        <s v="CUST4034"/>
        <s v="CUST6997"/>
        <s v="CUST2480"/>
        <s v="CUST9450"/>
        <s v="CUST8408"/>
        <s v="CUST7178"/>
        <s v="CUST4132"/>
        <s v="CUST4829"/>
        <s v="CUST5188"/>
        <s v="CUST1928"/>
        <s v="CUST3887"/>
        <s v="CUST5211"/>
        <s v="CUST2236"/>
        <s v="CUST5375"/>
        <s v="CUST4137"/>
        <s v="CUST5113"/>
        <s v="CUST7263"/>
        <s v="CUST2562"/>
        <s v="CUST9297"/>
        <s v="CUST2295"/>
        <s v="CUST3839"/>
        <s v="CUST8010"/>
        <s v="CUST9008"/>
        <s v="CUST3714"/>
        <s v="CUST5036"/>
        <s v="CUST1479"/>
        <s v="CUST9875"/>
        <s v="CUST3522"/>
        <s v="CUST4062"/>
        <s v="CUST4009"/>
        <s v="CUST4685"/>
        <s v="CUST3564"/>
        <s v="CUST8722"/>
        <s v="CUST3602"/>
        <s v="CUST9812"/>
        <s v="CUST4747"/>
        <s v="CUST1766"/>
        <s v="CUST3366"/>
        <s v="CUST1215"/>
        <s v="CUST5988"/>
        <s v="CUST3662"/>
        <s v="CUST3397"/>
        <s v="CUST4777"/>
        <s v="CUST9059"/>
        <s v="CUST5600"/>
        <s v="CUST7574"/>
        <s v="CUST1436"/>
        <s v="CUST3625"/>
        <s v="CUST5168"/>
        <s v="CUST6821"/>
        <s v="CUST6228"/>
        <s v="CUST3002"/>
        <s v="CUST3685"/>
        <s v="CUST3417"/>
        <s v="CUST7187"/>
        <s v="CUST2953"/>
        <s v="CUST2779"/>
        <s v="CUST6564"/>
        <s v="CUST4996"/>
        <s v="CUST2428"/>
        <s v="CUST2448"/>
        <s v="CUST1049"/>
        <s v="CUST9728"/>
        <s v="CUST6932"/>
        <s v="CUST9159"/>
        <s v="CUST6518"/>
        <s v="CUST4756"/>
        <s v="CUST7659"/>
        <s v="CUST6727"/>
        <s v="CUST8049"/>
        <s v="CUST4705"/>
        <s v="CUST5355"/>
        <s v="CUST3186"/>
        <s v="CUST1822"/>
        <s v="CUST9645"/>
        <s v="CUST2997"/>
        <s v="CUST2088"/>
        <s v="CUST1711"/>
        <s v="CUST9840"/>
        <s v="CUST7613"/>
        <s v="CUST1443"/>
        <s v="CUST9319"/>
        <s v="CUST6773"/>
        <s v="CUST5214"/>
        <s v="CUST3618"/>
        <s v="CUST3668"/>
        <s v="CUST7315"/>
        <s v="CUST9158"/>
        <s v="CUST6522"/>
        <s v="CUST3760"/>
        <s v="CUST5079"/>
        <s v="CUST6082"/>
        <s v="CUST8311"/>
        <s v="CUST5945"/>
        <s v="CUST9191"/>
        <s v="CUST8467"/>
        <s v="CUST1197"/>
        <s v="CUST6111"/>
        <s v="CUST1367"/>
        <s v="CUST6584"/>
        <s v="CUST2862"/>
        <s v="CUST4094"/>
        <s v="CUST5129"/>
        <s v="CUST4629"/>
        <s v="CUST5454"/>
        <s v="CUST3169"/>
        <s v="CUST9047"/>
        <s v="CUST9097"/>
        <s v="CUST2006"/>
        <s v="CUST5418"/>
        <s v="CUST8067"/>
        <s v="CUST3080"/>
        <s v="CUST6728"/>
        <s v="CUST7801"/>
        <s v="CUST4686"/>
        <s v="CUST6345"/>
        <s v="CUST6927"/>
        <s v="CUST8686"/>
        <s v="CUST6585"/>
        <s v="CUST7176"/>
        <s v="CUST9233"/>
        <s v="CUST7501"/>
        <s v="CUST7082"/>
        <s v="CUST2463"/>
        <s v="CUST1662"/>
        <s v="CUST7413"/>
        <s v="CUST1994"/>
        <s v="CUST6173"/>
        <s v="CUST7374"/>
        <s v="CUST4737"/>
        <s v="CUST6444"/>
        <s v="CUST2152"/>
        <s v="CUST1636"/>
        <s v="CUST3341"/>
        <s v="CUST1463"/>
        <s v="CUST3877"/>
        <s v="CUST6407"/>
        <s v="CUST4381"/>
        <s v="CUST5097"/>
        <s v="CUST9910"/>
        <s v="CUST7806"/>
        <s v="CUST8105"/>
        <s v="CUST6002"/>
        <s v="CUST1334"/>
        <s v="CUST9248"/>
        <s v="CUST7152"/>
        <s v="CUST8650"/>
        <s v="CUST9284"/>
        <s v="CUST4169"/>
        <s v="CUST3464"/>
        <s v="CUST8294"/>
        <s v="CUST4845"/>
        <s v="CUST6538"/>
        <s v="CUST6028"/>
        <s v="CUST7944"/>
        <s v="CUST5406"/>
        <s v="CUST9552"/>
        <s v="CUST3059"/>
        <s v="CUST1183"/>
        <s v="CUST1088"/>
        <s v="CUST8195"/>
        <s v="CUST1231"/>
        <s v="CUST6206"/>
        <s v="CUST7625"/>
        <s v="CUST1762"/>
        <s v="CUST1743"/>
        <s v="CUST9788"/>
        <s v="CUST2687"/>
        <s v="CUST3094"/>
        <s v="CUST7059"/>
        <s v="CUST8229"/>
        <s v="CUST2457"/>
        <s v="CUST5057"/>
        <s v="CUST1516"/>
        <s v="CUST4527"/>
        <s v="CUST2650"/>
        <s v="CUST1932"/>
        <s v="CUST2094"/>
        <s v="CUST7196"/>
        <s v="CUST2537"/>
        <s v="CUST9627"/>
        <s v="CUST3044"/>
        <s v="CUST9693"/>
        <s v="CUST5621"/>
        <s v="CUST6067"/>
        <s v="CUST9465"/>
        <s v="CUST3773"/>
        <s v="CUST5933"/>
        <s v="CUST8904"/>
        <s v="CUST2599"/>
        <s v="CUST5249"/>
        <s v="CUST9849"/>
        <s v="CUST3891"/>
        <s v="CUST8154"/>
        <s v="CUST1614"/>
        <s v="CUST9557"/>
        <s v="CUST9253"/>
        <s v="CUST2794"/>
        <s v="CUST2051"/>
        <s v="CUST1577"/>
        <s v="CUST7654"/>
        <s v="CUST9304"/>
        <s v="CUST9709"/>
        <s v="CUST6828"/>
        <s v="CUST1170"/>
        <s v="CUST3075"/>
        <s v="CUST7104"/>
        <s v="CUST3265"/>
        <s v="CUST4601"/>
        <s v="CUST5743"/>
        <s v="CUST8871"/>
        <s v="CUST3763"/>
        <s v="CUST6467"/>
        <s v="CUST7309"/>
        <s v="CUST3281"/>
        <s v="CUST9724"/>
        <s v="CUST5468"/>
        <s v="CUST7621"/>
        <s v="CUST9551"/>
        <s v="CUST3023"/>
        <s v="CUST5318"/>
        <s v="CUST9900"/>
        <s v="CUST6142"/>
        <s v="CUST8318"/>
        <s v="CUST9485"/>
        <s v="CUST9022"/>
        <s v="CUST4041"/>
        <s v="CUST5835"/>
        <s v="CUST9776"/>
        <s v="CUST9292"/>
        <s v="CUST3607"/>
        <s v="CUST1032"/>
        <s v="CUST6531"/>
        <s v="CUST4482"/>
        <s v="CUST4655"/>
        <s v="CUST3365"/>
        <s v="CUST1481"/>
        <s v="CUST2242"/>
        <s v="CUST8164"/>
        <s v="CUST9469"/>
        <s v="CUST3129"/>
        <s v="CUST6180"/>
        <s v="CUST2671"/>
        <s v="CUST9927"/>
        <s v="CUST3393"/>
        <s v="CUST5569"/>
        <s v="CUST5128"/>
        <s v="CUST3345"/>
        <s v="CUST6600"/>
        <s v="CUST5615"/>
        <s v="CUST5102"/>
        <s v="CUST6037"/>
        <s v="CUST2137"/>
        <s v="CUST4625"/>
        <s v="CUST4414"/>
        <s v="CUST5778"/>
        <s v="CUST1528"/>
        <s v="CUST5430"/>
        <s v="CUST8759"/>
        <s v="CUST9421"/>
        <s v="CUST3440"/>
        <s v="CUST6631"/>
        <s v="CUST9089"/>
        <s v="CUST4703"/>
        <s v="CUST4598"/>
        <s v="CUST3277"/>
        <s v="CUST5932"/>
        <s v="CUST7628"/>
        <s v="CUST9942"/>
        <s v="CUST6436"/>
        <s v="CUST2231"/>
        <s v="CUST2956"/>
        <s v="CUST1764"/>
        <s v="CUST9649"/>
        <s v="CUST6655"/>
        <s v="CUST4284"/>
        <s v="CUST4269"/>
        <s v="CUST1253"/>
        <s v="CUST9754"/>
        <s v="CUST2697"/>
        <s v="CUST9209"/>
        <s v="CUST4215"/>
        <s v="CUST2935"/>
        <s v="CUST9381"/>
        <s v="CUST4982"/>
        <s v="CUST4849"/>
        <s v="CUST3418"/>
        <s v="CUST3459"/>
        <s v="CUST7937"/>
        <s v="CUST8269"/>
        <s v="CUST9619"/>
        <s v="CUST6887"/>
        <s v="CUST8515"/>
        <s v="CUST1256"/>
        <s v="CUST1841"/>
        <s v="CUST2777"/>
        <s v="CUST2031"/>
        <s v="CUST9219"/>
        <s v="CUST6714"/>
        <s v="CUST5766"/>
        <s v="CUST1189"/>
        <s v="CUST9125"/>
        <s v="CUST6806"/>
        <s v="CUST9543"/>
        <s v="CUST6136"/>
        <s v="CUST9131"/>
        <s v="CUST4317"/>
        <s v="CUST5702"/>
        <s v="CUST9379"/>
        <s v="CUST7664"/>
        <s v="CUST1710"/>
        <s v="CUST2680"/>
        <s v="CUST6783"/>
        <s v="CUST8039"/>
        <s v="CUST7564"/>
        <s v="CUST8899"/>
        <s v="CUST1453"/>
        <s v="CUST5363"/>
        <s v="CUST8325"/>
        <s v="CUST3741"/>
        <s v="CUST4758"/>
        <s v="CUST1940"/>
        <s v="CUST3024"/>
        <s v="CUST7981"/>
        <s v="CUST9259"/>
        <s v="CUST8225"/>
        <s v="CUST4966"/>
        <s v="CUST2632"/>
        <s v="CUST3723"/>
        <s v="CUST8322"/>
        <s v="CUST9464"/>
        <s v="CUST4264"/>
        <s v="CUST8691"/>
        <s v="CUST7117"/>
        <s v="CUST4167"/>
        <s v="CUST6969"/>
        <s v="CUST9486"/>
        <s v="CUST2708"/>
        <s v="CUST1833"/>
        <s v="CUST8425"/>
        <s v="CUST3911"/>
        <s v="CUST2812"/>
        <s v="CUST8000"/>
        <s v="CUST6862"/>
        <s v="CUST1616"/>
        <s v="CUST2835"/>
        <s v="CUST7494"/>
        <s v="CUST8789"/>
        <s v="CUST4457"/>
        <s v="CUST6258"/>
        <s v="CUST9324"/>
        <s v="CUST2027"/>
        <s v="CUST9966"/>
        <s v="CUST3747"/>
        <s v="CUST9303"/>
        <s v="CUST9282"/>
        <s v="CUST1565"/>
        <s v="CUST6704"/>
        <s v="CUST8023"/>
        <s v="CUST6860"/>
        <s v="CUST2661"/>
        <s v="CUST1316"/>
        <s v="CUST7283"/>
        <s v="CUST3089"/>
        <s v="CUST8947"/>
        <s v="CUST9042"/>
        <s v="CUST8907"/>
        <s v="CUST6260"/>
        <s v="CUST9055"/>
        <s v="CUST3778"/>
        <s v="CUST1090"/>
        <s v="CUST6706"/>
        <s v="CUST8200"/>
        <s v="CUST5010"/>
        <s v="CUST5233"/>
        <s v="CUST4089"/>
        <s v="CUST7568"/>
        <s v="CUST3835"/>
        <s v="CUST1124"/>
        <s v="CUST8700"/>
        <s v="CUST2742"/>
        <s v="CUST6394"/>
        <s v="CUST5133"/>
        <s v="CUST5535"/>
        <s v="CUST1419"/>
        <s v="CUST3972"/>
        <s v="CUST2394"/>
        <s v="CUST7033"/>
        <s v="CUST7824"/>
        <s v="CUST2039"/>
        <s v="CUST4569"/>
        <s v="CUST1780"/>
        <s v="CUST5244"/>
        <s v="CUST7188"/>
        <s v="CUST7042"/>
        <s v="CUST4646"/>
        <s v="CUST3623"/>
        <s v="CUST1399"/>
        <s v="CUST7285"/>
        <s v="CUST1401"/>
        <s v="CUST9458"/>
        <s v="CUST9612"/>
        <s v="CUST2520"/>
        <s v="CUST7491"/>
        <s v="CUST3473"/>
        <s v="CUST6748"/>
        <s v="CUST4722"/>
        <s v="CUST5431"/>
        <s v="CUST3316"/>
        <s v="CUST9510"/>
        <s v="CUST9273"/>
        <s v="CUST5206"/>
        <s v="CUST3820"/>
        <s v="CUST5791"/>
        <s v="CUST2343"/>
        <s v="CUST6654"/>
        <s v="CUST8820"/>
        <s v="CUST9181"/>
        <s v="CUST8098"/>
        <s v="CUST6006"/>
        <s v="CUST1094"/>
        <s v="CUST1468"/>
        <s v="CUST1936"/>
        <s v="CUST8399"/>
        <s v="CUST8075"/>
        <s v="CUST8826"/>
        <s v="CUST9700"/>
        <s v="CUST8600"/>
        <s v="CUST8513"/>
        <s v="CUST8595"/>
        <s v="CUST9489"/>
        <s v="CUST7226"/>
        <s v="CUST1840"/>
        <s v="CUST9449"/>
        <s v="CUST3537"/>
        <s v="CUST4417"/>
        <s v="CUST4099"/>
        <s v="CUST3107"/>
        <s v="CUST8859"/>
        <s v="CUST9111"/>
        <s v="CUST8813"/>
        <s v="CUST7221"/>
        <s v="CUST5899"/>
        <s v="CUST4483"/>
        <s v="CUST4438"/>
        <s v="CUST9123"/>
        <s v="CUST2364"/>
        <s v="CUST6314"/>
        <s v="CUST8128"/>
        <s v="CUST8583"/>
        <s v="CUST4488"/>
        <s v="CUST5178"/>
        <s v="CUST9217"/>
        <s v="CUST4150"/>
        <s v="CUST3751"/>
        <s v="CUST1991"/>
        <s v="CUST8124"/>
        <s v="CUST6678"/>
        <s v="CUST8268"/>
        <s v="CUST1835"/>
        <s v="CUST3497"/>
        <s v="CUST1452"/>
        <s v="CUST7416"/>
        <s v="CUST8649"/>
        <s v="CUST7361"/>
        <s v="CUST9567"/>
        <s v="CUST6432"/>
        <s v="CUST4934"/>
        <s v="CUST6845"/>
        <s v="CUST1252"/>
        <s v="CUST9488"/>
        <s v="CUST4810"/>
        <s v="CUST1106"/>
        <s v="CUST3004"/>
        <s v="CUST6421"/>
        <s v="CUST9384"/>
        <s v="CUST9081"/>
        <s v="CUST6589"/>
        <s v="CUST7844"/>
        <s v="CUST4673"/>
        <s v="CUST7504"/>
        <s v="CUST6921"/>
        <s v="CUST4109"/>
        <s v="CUST2181"/>
        <s v="CUST8708"/>
        <s v="CUST7219"/>
        <s v="CUST5516"/>
        <s v="CUST9562"/>
        <s v="CUST8347"/>
        <s v="CUST3567"/>
        <s v="CUST8110"/>
        <s v="CUST4584"/>
        <s v="CUST4537"/>
        <s v="CUST5154"/>
        <s v="CUST9614"/>
        <s v="CUST8300"/>
        <s v="CUST1673"/>
        <s v="CUST7016"/>
        <s v="CUST2672"/>
        <s v="CUST3237"/>
        <s v="CUST6684"/>
        <s v="CUST3321"/>
        <s v="CUST2904"/>
        <s v="CUST1681"/>
        <s v="CUST7863"/>
        <s v="CUST2218"/>
        <s v="CUST6288"/>
        <s v="CUST8502"/>
        <s v="CUST1433"/>
        <s v="CUST4997"/>
        <s v="CUST2827"/>
        <s v="CUST4559"/>
        <s v="CUST7093"/>
        <s v="CUST8364"/>
        <s v="CUST3285"/>
        <s v="CUST1104"/>
        <s v="CUST5155"/>
        <s v="CUST3966"/>
        <s v="CUST2093"/>
        <s v="CUST9957"/>
        <s v="CUST3682"/>
        <s v="CUST4110"/>
        <s v="CUST2597"/>
        <s v="CUST8390"/>
        <s v="CUST4270"/>
        <s v="CUST3138"/>
        <s v="CUST4602"/>
        <s v="CUST7631"/>
        <s v="CUST7317"/>
        <s v="CUST2644"/>
        <s v="CUST9674"/>
        <s v="CUST3078"/>
        <s v="CUST8962"/>
        <s v="CUST7236"/>
        <s v="CUST4420"/>
        <s v="CUST6621"/>
        <s v="CUST8532"/>
        <s v="CUST6658"/>
        <s v="CUST4742"/>
        <s v="CUST2744"/>
        <s v="CUST6870"/>
        <s v="CUST1175"/>
        <s v="CUST3745"/>
        <s v="CUST6638"/>
        <s v="CUST4037"/>
        <s v="CUST8877"/>
        <s v="CUST6096"/>
        <s v="CUST7371"/>
        <s v="CUST4532"/>
        <s v="CUST6697"/>
        <s v="CUST7615"/>
        <s v="CUST8431"/>
        <s v="CUST8657"/>
        <s v="CUST6762"/>
        <s v="CUST5477"/>
        <s v="CUST8338"/>
        <s v="CUST3850"/>
        <s v="CUST8017"/>
        <s v="CUST5295"/>
        <s v="CUST4553"/>
        <s v="CUST1269"/>
        <s v="CUST6578"/>
        <s v="CUST2832"/>
        <s v="CUST8314"/>
        <s v="CUST7026"/>
        <s v="CUST2793"/>
        <s v="CUST7522"/>
        <s v="CUST1987"/>
        <s v="CUST9414"/>
        <s v="CUST2589"/>
        <s v="CUST8851"/>
        <s v="CUST4103"/>
        <s v="CUST2138"/>
        <s v="CUST5624"/>
        <s v="CUST9518"/>
        <s v="CUST9339"/>
        <s v="CUST6348"/>
        <s v="CUST3730"/>
        <s v="CUST8058"/>
        <s v="CUST2921"/>
        <s v="CUST9650"/>
        <s v="CUST2604"/>
        <s v="CUST9651"/>
        <s v="CUST1637"/>
        <s v="CUST9515"/>
        <s v="CUST7173"/>
        <s v="CUST6279"/>
        <s v="CUST2867"/>
        <s v="CUST3851"/>
        <s v="CUST8729"/>
        <s v="CUST3580"/>
        <s v="CUST8834"/>
        <s v="CUST6815"/>
        <s v="CUST1790"/>
        <s v="CUST9952"/>
        <s v="CUST7600"/>
        <s v="CUST9628"/>
        <s v="CUST5415"/>
        <s v="CUST6752"/>
        <s v="CUST7110"/>
        <s v="CUST5240"/>
        <s v="CUST5505"/>
        <s v="CUST6116"/>
        <s v="CUST3566"/>
        <s v="CUST3948"/>
        <s v="CUST2369"/>
        <s v="CUST3542"/>
        <s v="CUST7724"/>
        <s v="CUST5419"/>
        <s v="CUST6571"/>
        <s v="CUST7650"/>
        <s v="CUST7445"/>
        <s v="CUST6565"/>
        <s v="CUST2969"/>
        <s v="CUST3298"/>
        <s v="CUST3260"/>
        <s v="CUST9962"/>
        <s v="CUST6814"/>
        <s v="CUST2859"/>
        <s v="CUST7228"/>
        <s v="CUST2551"/>
        <s v="CUST5718"/>
        <s v="CUST8242"/>
        <s v="CUST1618"/>
        <s v="CUST3297"/>
        <s v="CUST4901"/>
        <s v="CUST3189"/>
        <s v="CUST3690"/>
        <s v="CUST7876"/>
        <s v="CUST6442"/>
        <s v="CUST9514"/>
        <s v="CUST7903"/>
        <s v="CUST1658"/>
        <s v="CUST6719"/>
        <s v="CUST4941"/>
        <s v="CUST5851"/>
        <s v="CUST1149"/>
        <s v="CUST6336"/>
        <s v="CUST1960"/>
        <s v="CUST6933"/>
        <s v="CUST8754"/>
        <s v="CUST4979"/>
        <s v="CUST6340"/>
        <s v="CUST7814"/>
        <s v="CUST8199"/>
        <s v="CUST9718"/>
        <s v="CUST7065"/>
        <s v="CUST6162"/>
        <s v="CUST6944"/>
        <s v="CUST8319"/>
        <s v="CUST6540"/>
        <s v="CUST8453"/>
        <s v="CUST5605"/>
        <s v="CUST8704"/>
        <s v="CUST3264"/>
        <s v="CUST9364"/>
        <s v="CUST5389"/>
        <s v="CUST8766"/>
        <s v="CUST5585"/>
        <s v="CUST7544"/>
        <s v="CUST8217"/>
        <s v="CUST6780"/>
        <s v="CUST9804"/>
        <s v="CUST5876"/>
        <s v="CUST1026"/>
        <s v="CUST5432"/>
        <s v="CUST8575"/>
        <s v="CUST5455"/>
        <s v="CUST2834"/>
        <s v="CUST4431"/>
        <s v="CUST3744"/>
        <s v="CUST1962"/>
        <s v="CUST7787"/>
        <s v="CUST3679"/>
        <s v="CUST8455"/>
        <s v="CUST4973"/>
        <s v="CUST7578"/>
        <s v="CUST9287"/>
        <s v="CUST3430"/>
        <s v="CUST9817"/>
        <s v="CUST7072"/>
        <s v="CUST3327"/>
        <s v="CUST2202"/>
        <s v="CUST3767"/>
        <s v="CUST4947"/>
        <s v="CUST4888"/>
        <s v="CUST4112"/>
        <s v="CUST1442"/>
        <s v="CUST2757"/>
        <s v="CUST5319"/>
        <s v="CUST4391"/>
        <s v="CUST7473"/>
        <s v="CUST9104"/>
        <s v="CUST7091"/>
        <s v="CUST1258"/>
        <s v="CUST1691"/>
        <s v="CUST9404"/>
        <s v="CUST1779"/>
        <s v="CUST4651"/>
        <s v="CUST9027"/>
        <s v="CUST1396"/>
        <s v="CUST9132"/>
        <s v="CUST4926"/>
        <s v="CUST3987"/>
        <s v="CUST5136"/>
        <s v="CUST8849"/>
        <s v="CUST3603"/>
        <s v="CUST4073"/>
        <s v="CUST7068"/>
        <s v="CUST5762"/>
        <s v="CUST1611"/>
        <s v="CUST1806"/>
        <s v="CUST4730"/>
        <s v="CUST7164"/>
        <s v="CUST3867"/>
        <s v="CUST6152"/>
        <s v="CUST6881"/>
        <s v="CUST3438"/>
        <s v="CUST1890"/>
        <s v="CUST9994"/>
        <s v="CUST1906"/>
        <s v="CUST4977"/>
        <s v="CUST6241"/>
        <s v="CUST1759"/>
        <s v="CUST4515"/>
        <s v="CUST6309"/>
        <s v="CUST2384"/>
        <s v="CUST5025"/>
        <s v="CUST1753"/>
        <s v="CUST7186"/>
        <s v="CUST2804"/>
        <s v="CUST1997"/>
        <s v="CUST7609"/>
        <s v="CUST6414"/>
        <s v="CUST3652"/>
        <s v="CUST4106"/>
        <s v="CUST7933"/>
        <s v="CUST9299"/>
        <s v="CUST5160"/>
        <s v="CUST2260"/>
        <s v="CUST7676"/>
        <s v="CUST7405"/>
        <s v="CUST4565"/>
        <s v="CUST6319"/>
        <s v="CUST4077"/>
        <s v="CUST8537"/>
        <s v="CUST2025"/>
        <s v="CUST1122"/>
        <s v="CUST5413"/>
        <s v="CUST8466"/>
        <s v="CUST9493"/>
        <s v="CUST3576"/>
        <s v="CUST2586"/>
        <s v="CUST3499"/>
        <s v="CUST7718"/>
        <s v="CUST3330"/>
        <s v="CUST9113"/>
        <s v="CUST1004"/>
        <s v="CUST8381"/>
        <s v="CUST6316"/>
        <s v="CUST2403"/>
        <s v="CUST1357"/>
        <s v="CUST4337"/>
        <s v="CUST9175"/>
        <s v="CUST7177"/>
        <s v="CUST9009"/>
        <s v="CUST8996"/>
        <s v="CUST3759"/>
        <s v="CUST6311"/>
        <s v="CUST8525"/>
        <s v="CUST9285"/>
        <s v="CUST8387"/>
        <s v="CUST5726"/>
        <s v="CUST7238"/>
        <s v="CUST3843"/>
        <s v="CUST7185"/>
        <s v="CUST7757"/>
        <s v="CUST1713"/>
        <s v="CUST6987"/>
        <s v="CUST5829"/>
        <s v="CUST2542"/>
        <s v="CUST4869"/>
        <s v="CUST5338"/>
        <s v="CUST5373"/>
        <s v="CUST2256"/>
        <s v="CUST7388"/>
        <s v="CUST1159"/>
        <s v="CUST4003"/>
        <s v="CUST6511"/>
        <s v="CUST2836"/>
        <s v="CUST9945"/>
        <s v="CUST1603"/>
        <s v="CUST9871"/>
        <s v="CUST2418"/>
        <s v="CUST2126"/>
        <s v="CUST1284"/>
        <s v="CUST6389"/>
        <s v="CUST2967"/>
        <s v="CUST9092"/>
        <s v="CUST9351"/>
        <s v="CUST6410"/>
        <s v="CUST7618"/>
        <s v="CUST9544"/>
        <s v="CUST9501"/>
        <s v="CUST2714"/>
        <m/>
      </sharedItems>
    </cacheField>
    <cacheField name="Customer_Name" numFmtId="0">
      <sharedItems containsBlank="1" count="426">
        <s v="Customer_227"/>
        <s v="Customer_182"/>
        <s v="Customer_487"/>
        <s v="Customer_470"/>
        <s v="Customer_380"/>
        <s v="Customer_71"/>
        <s v="Customer_335"/>
        <s v="Customer_224"/>
        <s v="Customer_494"/>
        <s v="Customer_40"/>
        <s v="Customer_162"/>
        <s v="Customer_209"/>
        <s v="Customer_454"/>
        <s v="Customer_490"/>
        <s v="Customer_213"/>
        <s v="Customer_313"/>
        <s v="Customer_161"/>
        <s v="Customer_67"/>
        <s v="Customer_103"/>
        <s v="Customer_357"/>
        <s v="Customer_190"/>
        <s v="Customer_122"/>
        <s v="Customer_499"/>
        <s v="Customer_173"/>
        <s v="Customer_348"/>
        <s v="Customer_183"/>
        <s v="Customer_48"/>
        <s v="Customer_181"/>
        <s v="Customer_205"/>
        <s v="Customer_415"/>
        <s v="Customer_50"/>
        <s v="Customer_350"/>
        <s v="Customer_352"/>
        <s v="Customer_388"/>
        <s v="Customer_315"/>
        <s v="Customer_151"/>
        <s v="Customer_144"/>
        <s v="Customer_345"/>
        <s v="Customer_383"/>
        <s v="Customer_484"/>
        <s v="Customer_344"/>
        <s v="Customer_256"/>
        <s v="Customer_409"/>
        <s v="Customer_396"/>
        <s v="Customer_198"/>
        <s v="Customer_78"/>
        <s v="Customer_117"/>
        <s v="Customer_432"/>
        <s v="Customer_87"/>
        <s v="Customer_254"/>
        <s v="Customer_70"/>
        <s v="Customer_408"/>
        <s v="Customer_387"/>
        <s v="Customer_11"/>
        <s v="Customer_20"/>
        <s v="Customer_53"/>
        <s v="Customer_115"/>
        <s v="Customer_292"/>
        <s v="Customer_312"/>
        <s v="Customer_125"/>
        <s v="Customer_92"/>
        <s v="Customer_407"/>
        <s v="Customer_394"/>
        <s v="Customer_51"/>
        <s v="Customer_150"/>
        <s v="Customer_360"/>
        <s v="Customer_160"/>
        <s v="Customer_223"/>
        <s v="Customer_31"/>
        <s v="Customer_277"/>
        <s v="Customer_317"/>
        <s v="Customer_298"/>
        <s v="Customer_34"/>
        <s v="Customer_265"/>
        <s v="Customer_62"/>
        <s v="Customer_384"/>
        <s v="Customer_478"/>
        <s v="Customer_7"/>
        <s v="Customer_234"/>
        <s v="Customer_195"/>
        <s v="Customer_165"/>
        <s v="Customer_179"/>
        <s v="Customer_45"/>
        <s v="Customer_154"/>
        <s v="Customer_311"/>
        <s v="Customer_370"/>
        <s v="Customer_375"/>
        <s v="Customer_318"/>
        <s v="Customer_320"/>
        <s v="Customer_84"/>
        <s v="Customer_395"/>
        <s v="Customer_379"/>
        <s v="Customer_176"/>
        <s v="Customer_15"/>
        <s v="Customer_308"/>
        <s v="Customer_35"/>
        <s v="Customer_389"/>
        <s v="Customer_420"/>
        <s v="Customer_471"/>
        <s v="Customer_341"/>
        <s v="Customer_355"/>
        <s v="Customer_302"/>
        <s v="Customer_121"/>
        <s v="Customer_241"/>
        <s v="Customer_8"/>
        <s v="Customer_457"/>
        <s v="Customer_114"/>
        <s v="Customer_166"/>
        <s v="Customer_376"/>
        <s v="Customer_95"/>
        <s v="Customer_374"/>
        <s v="Customer_459"/>
        <s v="Customer_353"/>
        <s v="Customer_258"/>
        <s v="Customer_400"/>
        <s v="Customer_495"/>
        <s v="Customer_260"/>
        <s v="Customer_489"/>
        <s v="Customer_96"/>
        <s v="Customer_430"/>
        <s v="Customer_98"/>
        <s v="Customer_107"/>
        <s v="Customer_104"/>
        <s v="Customer_271"/>
        <s v="Customer_244"/>
        <s v="Customer_491"/>
        <s v="Customer_230"/>
        <s v="Customer_249"/>
        <s v="Customer_47"/>
        <s v="Customer_202"/>
        <s v="Customer_286"/>
        <s v="Customer_17"/>
        <s v="Customer_371"/>
        <s v="Customer_215"/>
        <s v="Customer_221"/>
        <s v="Customer_120"/>
        <s v="Customer_280"/>
        <s v="Customer_488"/>
        <s v="Customer_319"/>
        <s v="Customer_274"/>
        <s v="Customer_187"/>
        <s v="Customer_279"/>
        <s v="Customer_295"/>
        <s v="Customer_468"/>
        <s v="Customer_6"/>
        <s v="Customer_23"/>
        <s v="Customer_273"/>
        <s v="Customer_22"/>
        <s v="Customer_267"/>
        <s v="Customer_475"/>
        <s v="Customer_333"/>
        <s v="Customer_193"/>
        <s v="Customer_363"/>
        <s v="Customer_19"/>
        <s v="Customer_163"/>
        <s v="Customer_266"/>
        <s v="Customer_101"/>
        <s v="Customer_233"/>
        <s v="Customer_288"/>
        <s v="Customer_66"/>
        <s v="Customer_382"/>
        <s v="Customer_73"/>
        <s v="Customer_466"/>
        <s v="Customer_57"/>
        <s v="Customer_94"/>
        <s v="Customer_102"/>
        <s v="Customer_149"/>
        <s v="Customer_435"/>
        <s v="Customer_336"/>
        <s v="Customer_216"/>
        <s v="Customer_449"/>
        <s v="Customer_127"/>
        <s v="Customer_444"/>
        <s v="Customer_243"/>
        <s v="Customer_338"/>
        <s v="Customer_304"/>
        <s v="Customer_12"/>
        <s v="Customer_410"/>
        <s v="Customer_445"/>
        <s v="Customer_452"/>
        <s v="Customer_108"/>
        <s v="Customer_412"/>
        <s v="Customer_174"/>
        <s v="Customer_36"/>
        <s v="Customer_347"/>
        <s v="Customer_434"/>
        <s v="Customer_200"/>
        <s v="Customer_142"/>
        <s v="Customer_131"/>
        <s v="Customer_283"/>
        <s v="Customer_297"/>
        <s v="Customer_301"/>
        <s v="Customer_225"/>
        <s v="Customer_49"/>
        <s v="Customer_323"/>
        <s v="Customer_419"/>
        <s v="Customer_204"/>
        <s v="Customer_404"/>
        <s v="Customer_167"/>
        <s v="Customer_368"/>
        <s v="Customer_138"/>
        <s v="Customer_378"/>
        <s v="Customer_413"/>
        <s v="Customer_473"/>
        <s v="Customer_214"/>
        <s v="Customer_485"/>
        <s v="Customer_2"/>
        <s v="Customer_492"/>
        <s v="Customer_390"/>
        <s v="Customer_365"/>
        <s v="Customer_4"/>
        <s v="Customer_367"/>
        <s v="Customer_251"/>
        <s v="Customer_99"/>
        <s v="Customer_263"/>
        <s v="Customer_397"/>
        <s v="Customer_133"/>
        <s v="Customer_157"/>
        <s v="Customer_324"/>
        <s v="Customer_110"/>
        <s v="Customer_385"/>
        <s v="Customer_83"/>
        <s v="Customer_364"/>
        <s v="Customer_451"/>
        <s v="Customer_423"/>
        <s v="Customer_212"/>
        <s v="Customer_307"/>
        <s v="Customer_1"/>
        <s v="Customer_401"/>
        <s v="Customer_58"/>
        <s v="Customer_282"/>
        <s v="Customer_164"/>
        <s v="Customer_340"/>
        <s v="Customer_189"/>
        <s v="Customer_339"/>
        <s v="Customer_18"/>
        <s v="Customer_141"/>
        <s v="Customer_222"/>
        <s v="Customer_229"/>
        <s v="Customer_462"/>
        <s v="Customer_158"/>
        <s v="Customer_148"/>
        <s v="Customer_359"/>
        <s v="Customer_276"/>
        <s v="Customer_369"/>
        <s v="Customer_32"/>
        <s v="Customer_27"/>
        <s v="Customer_343"/>
        <s v="Customer_427"/>
        <s v="Customer_316"/>
        <s v="Customer_152"/>
        <s v="Customer_236"/>
        <s v="Customer_264"/>
        <s v="Customer_453"/>
        <s v="Customer_257"/>
        <s v="Customer_59"/>
        <s v="Customer_172"/>
        <s v="Customer_498"/>
        <s v="Customer_82"/>
        <s v="Customer_248"/>
        <s v="Customer_220"/>
        <s v="Customer_463"/>
        <s v="Customer_496"/>
        <s v="Customer_43"/>
        <s v="Customer_433"/>
        <s v="Customer_362"/>
        <s v="Customer_89"/>
        <s v="Customer_218"/>
        <s v="Customer_139"/>
        <s v="Customer_80"/>
        <s v="Customer_331"/>
        <s v="Customer_156"/>
        <s v="Customer_426"/>
        <s v="Customer_175"/>
        <s v="Customer_188"/>
        <s v="Customer_192"/>
        <s v="Customer_159"/>
        <s v="Customer_242"/>
        <s v="Customer_56"/>
        <s v="Customer_416"/>
        <s v="Customer_296"/>
        <s v="Customer_194"/>
        <s v="Customer_346"/>
        <s v="Customer_170"/>
        <s v="Customer_28"/>
        <s v="Customer_177"/>
        <s v="Customer_38"/>
        <s v="Customer_322"/>
        <s v="Customer_270"/>
        <s v="Customer_268"/>
        <s v="Customer_334"/>
        <s v="Customer_155"/>
        <s v="Customer_26"/>
        <s v="Customer_129"/>
        <s v="Customer_417"/>
        <s v="Customer_309"/>
        <s v="Customer_132"/>
        <s v="Customer_85"/>
        <s v="Customer_448"/>
        <s v="Customer_328"/>
        <s v="Customer_381"/>
        <s v="Customer_90"/>
        <s v="Customer_391"/>
        <s v="Customer_482"/>
        <s v="Customer_60"/>
        <s v="Customer_16"/>
        <s v="Customer_461"/>
        <s v="Customer_372"/>
        <s v="Customer_332"/>
        <s v="Customer_196"/>
        <s v="Customer_321"/>
        <s v="Customer_208"/>
        <s v="Customer_429"/>
        <s v="Customer_252"/>
        <s v="Customer_113"/>
        <s v="Customer_275"/>
        <s v="Customer_458"/>
        <s v="Customer_199"/>
        <s v="Customer_118"/>
        <s v="Customer_168"/>
        <s v="Customer_3"/>
        <s v="Customer_262"/>
        <s v="Customer_354"/>
        <s v="Customer_455"/>
        <s v="Customer_147"/>
        <s v="Customer_46"/>
        <s v="Customer_79"/>
        <s v="Customer_86"/>
        <s v="Customer_146"/>
        <s v="Customer_226"/>
        <s v="Customer_74"/>
        <s v="Customer_293"/>
        <s v="Customer_21"/>
        <s v="Customer_238"/>
        <s v="Customer_250"/>
        <s v="Customer_44"/>
        <s v="Customer_180"/>
        <s v="Customer_137"/>
        <s v="Customer_431"/>
        <s v="Customer_219"/>
        <s v="Customer_493"/>
        <s v="Customer_25"/>
        <s v="Customer_93"/>
        <s v="Customer_327"/>
        <s v="Customer_39"/>
        <s v="Customer_337"/>
        <s v="Customer_91"/>
        <s v="Customer_206"/>
        <s v="Customer_441"/>
        <s v="Customer_63"/>
        <s v="Customer_421"/>
        <s v="Customer_178"/>
        <s v="Customer_377"/>
        <s v="Customer_235"/>
        <s v="Customer_500"/>
        <s v="Customer_109"/>
        <s v="Customer_290"/>
        <s v="Customer_414"/>
        <s v="Customer_81"/>
        <s v="Customer_68"/>
        <s v="Customer_191"/>
        <s v="Customer_135"/>
        <s v="Customer_469"/>
        <s v="Customer_386"/>
        <s v="Customer_9"/>
        <s v="Customer_88"/>
        <s v="Customer_269"/>
        <s v="Customer_392"/>
        <s v="Customer_287"/>
        <s v="Customer_325"/>
        <s v="Customer_232"/>
        <s v="Customer_105"/>
        <s v="Customer_428"/>
        <s v="Customer_116"/>
        <s v="Customer_440"/>
        <s v="Customer_366"/>
        <s v="Customer_300"/>
        <s v="Customer_472"/>
        <s v="Customer_303"/>
        <s v="Customer_361"/>
        <s v="Customer_356"/>
        <s v="Customer_52"/>
        <s v="Customer_97"/>
        <s v="Customer_72"/>
        <s v="Customer_422"/>
        <s v="Customer_460"/>
        <s v="Customer_465"/>
        <s v="Customer_259"/>
        <s v="Customer_237"/>
        <s v="Customer_10"/>
        <s v="Customer_418"/>
        <s v="Customer_14"/>
        <s v="Customer_77"/>
        <s v="Customer_134"/>
        <s v="Customer_140"/>
        <s v="Customer_289"/>
        <s v="Customer_284"/>
        <s v="Customer_481"/>
        <s v="Customer_443"/>
        <s v="Customer_245"/>
        <s v="Customer_281"/>
        <s v="Customer_184"/>
        <s v="Customer_13"/>
        <s v="Customer_153"/>
        <s v="Customer_479"/>
        <s v="Customer_210"/>
        <s v="Customer_126"/>
        <s v="Customer_106"/>
        <s v="Customer_54"/>
        <s v="Customer_438"/>
        <s v="Customer_76"/>
        <s v="Customer_436"/>
        <s v="Customer_42"/>
        <s v="Customer_393"/>
        <s v="Customer_239"/>
        <s v="Customer_447"/>
        <s v="Customer_437"/>
        <s v="Customer_450"/>
        <s v="Customer_112"/>
        <s v="Customer_424"/>
        <s v="Customer_285"/>
        <s v="Customer_37"/>
        <s v="Customer_305"/>
        <s v="Customer_425"/>
        <s v="Customer_483"/>
        <m/>
      </sharedItems>
    </cacheField>
    <cacheField name="Age" numFmtId="0">
      <sharedItems containsString="0" containsBlank="1" containsNumber="1" containsInteger="1" minValue="18" maxValue="65"/>
    </cacheField>
    <cacheField name="Gender" numFmtId="0">
      <sharedItems containsBlank="1"/>
    </cacheField>
    <cacheField name="City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 Unit_Price" numFmtId="0">
      <sharedItems containsString="0" containsBlank="1" containsNumber="1" minValue="145.78" maxValue="49997.53"/>
    </cacheField>
    <cacheField name="Total_Sales" numFmtId="0">
      <sharedItems containsString="0" containsBlank="1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9.537872569446" createdVersion="8" refreshedVersion="8" minRefreshableVersion="3" recordCount="1000" xr:uid="{F601D60F-B7D1-4B9C-AED6-6FABA54257C2}">
  <cacheSource type="worksheet">
    <worksheetSource ref="A1:L1001" sheet="Cleaned_Sales_Dataset"/>
  </cacheSource>
  <cacheFields count="12">
    <cacheField name="Order_ID" numFmtId="0">
      <sharedItems/>
    </cacheField>
    <cacheField name="Order_Date" numFmtId="0">
      <sharedItems count="342">
        <s v="2025-02-25"/>
        <s v="2025-10-14"/>
        <s v="2025-05-13"/>
        <s v="2025-12-02"/>
        <s v="2025-11-20"/>
        <s v="2025-12-31"/>
        <s v="2025-12-05"/>
        <s v="2025-11-21"/>
        <s v="2025-04-16"/>
        <s v="2025-05-05"/>
        <s v="2025-05-02"/>
        <s v="2025-05-06"/>
        <s v="2025-04-24"/>
        <s v="2025-03-12"/>
        <s v="2025-08-30"/>
        <s v="2025-11-30"/>
        <s v="2025-10-19"/>
        <s v="2025-07-24"/>
        <s v="2025-03-20"/>
        <s v="2025-03-18"/>
        <s v="2025-10-04"/>
        <s v="2025-11-23"/>
        <s v="2025-09-14"/>
        <s v="2025-03-16"/>
        <s v="2025-04-10"/>
        <s v="2025-08-01"/>
        <s v="2025-08-10"/>
        <s v="2025-02-05"/>
        <s v="2025-08-09"/>
        <s v="2025-10-22"/>
        <s v="2025-12-04"/>
        <s v="2025-05-03"/>
        <s v="2025-03-08"/>
        <s v="2025-02-07"/>
        <s v="2025-02-20"/>
        <s v="2025-10-20"/>
        <s v="2025-03-07"/>
        <s v="2025-04-21"/>
        <s v="2025-05-31"/>
        <s v="2025-04-20"/>
        <s v="2025-09-22"/>
        <s v="2025-07-04"/>
        <s v="2025-04-26"/>
        <s v="2025-05-11"/>
        <s v="2025-09-02"/>
        <s v="2025-10-25"/>
        <s v="2025-10-03"/>
        <s v="2025-02-27"/>
        <s v="2025-09-09"/>
        <s v="2025-06-08"/>
        <s v="2025-07-07"/>
        <s v="2025-11-16"/>
        <s v="2025-12-07"/>
        <s v="2025-12-12"/>
        <s v="2025-01-15"/>
        <s v="2025-11-08"/>
        <s v="2025-07-06"/>
        <s v="2025-07-15"/>
        <s v="2025-09-26"/>
        <s v="2025-05-16"/>
        <s v="2025-07-25"/>
        <s v="2025-01-30"/>
        <s v="2025-06-24"/>
        <s v="2025-08-15"/>
        <s v="2025-10-21"/>
        <s v="2025-08-25"/>
        <s v="2025-06-19"/>
        <s v="2025-03-30"/>
        <s v="2025-12-30"/>
        <s v="2025-12-27"/>
        <s v="2025-04-14"/>
        <s v="2026-01-01"/>
        <s v="2025-08-21"/>
        <s v="2025-03-05"/>
        <s v="2025-09-01"/>
        <s v="2025-01-06"/>
        <s v="2025-10-24"/>
        <s v="2025-08-24"/>
        <s v="2025-03-17"/>
        <s v="2025-12-17"/>
        <s v="2025-10-29"/>
        <s v="2025-12-15"/>
        <s v="2025-12-24"/>
        <s v="2025-04-28"/>
        <s v="2025-11-07"/>
        <s v="2025-02-19"/>
        <s v="2025-11-12"/>
        <s v="2025-01-22"/>
        <s v="2025-02-13"/>
        <s v="2025-11-02"/>
        <s v="2025-10-05"/>
        <s v="2025-12-19"/>
        <s v="2025-01-14"/>
        <s v="2025-10-26"/>
        <s v="2025-09-18"/>
        <s v="2025-10-15"/>
        <s v="2025-09-04"/>
        <s v="2025-03-01"/>
        <s v="2025-01-17"/>
        <s v="2025-07-11"/>
        <s v="2025-03-27"/>
        <s v="2025-05-19"/>
        <s v="2025-12-22"/>
        <s v="2025-07-08"/>
        <s v="2025-06-13"/>
        <s v="2025-03-04"/>
        <s v="2025-03-09"/>
        <s v="2025-11-29"/>
        <s v="2025-03-25"/>
        <s v="2025-02-10"/>
        <s v="2025-03-10"/>
        <s v="2025-03-21"/>
        <s v="2025-05-30"/>
        <s v="2025-11-27"/>
        <s v="2025-04-04"/>
        <s v="2025-01-25"/>
        <s v="2025-07-31"/>
        <s v="2025-06-30"/>
        <s v="2025-12-06"/>
        <s v="2025-09-17"/>
        <s v="2025-04-01"/>
        <s v="2025-09-13"/>
        <s v="2025-02-08"/>
        <s v="2025-06-26"/>
        <s v="2025-07-22"/>
        <s v="2025-03-11"/>
        <s v="2025-08-31"/>
        <s v="2025-02-16"/>
        <s v="2025-09-20"/>
        <s v="2025-06-03"/>
        <s v="2025-11-04"/>
        <s v="2025-01-07"/>
        <s v="2025-03-03"/>
        <s v="2025-08-06"/>
        <s v="2025-01-20"/>
        <s v="2025-05-10"/>
        <s v="2025-01-26"/>
        <s v="2025-04-08"/>
        <s v="2025-06-07"/>
        <s v="2025-01-11"/>
        <s v="2025-06-04"/>
        <s v="2025-06-21"/>
        <s v="2025-07-01"/>
        <s v="2025-10-31"/>
        <s v="2025-11-14"/>
        <s v="2025-04-27"/>
        <s v="2025-09-08"/>
        <s v="2025-02-26"/>
        <s v="2025-06-05"/>
        <s v="2025-11-19"/>
        <s v="2025-01-04"/>
        <s v="2025-02-24"/>
        <s v="2025-12-23"/>
        <s v="2025-12-16"/>
        <s v="2025-04-05"/>
        <s v="2025-11-09"/>
        <s v="2025-07-18"/>
        <s v="2025-03-23"/>
        <s v="2025-10-07"/>
        <s v="2025-01-13"/>
        <s v="2025-07-13"/>
        <s v="2025-01-10"/>
        <s v="2025-04-07"/>
        <s v="2025-11-01"/>
        <s v="2025-04-11"/>
        <s v="2025-09-05"/>
        <s v="2025-06-25"/>
        <s v="2025-02-04"/>
        <s v="2025-02-23"/>
        <s v="2025-02-12"/>
        <s v="2025-05-04"/>
        <s v="2025-09-21"/>
        <s v="2025-02-09"/>
        <s v="2025-01-23"/>
        <s v="2025-12-20"/>
        <s v="2025-04-02"/>
        <s v="2025-08-28"/>
        <s v="2025-08-17"/>
        <s v="2025-09-10"/>
        <s v="2025-06-18"/>
        <s v="2025-07-09"/>
        <s v="2025-10-28"/>
        <s v="2025-06-22"/>
        <s v="2025-04-18"/>
        <s v="2025-11-26"/>
        <s v="2025-12-26"/>
        <s v="2025-08-03"/>
        <s v="2025-09-11"/>
        <s v="2025-09-06"/>
        <s v="2025-09-30"/>
        <s v="2025-08-19"/>
        <s v="2025-12-28"/>
        <s v="2025-01-09"/>
        <s v="2025-05-09"/>
        <s v="2025-10-17"/>
        <s v="2025-10-23"/>
        <s v="2025-04-06"/>
        <s v="2025-03-02"/>
        <s v="2025-11-18"/>
        <s v="2025-07-28"/>
        <s v="2025-09-12"/>
        <s v="2025-08-27"/>
        <s v="2025-08-02"/>
        <s v="2025-07-29"/>
        <s v="2025-05-07"/>
        <s v="2025-07-20"/>
        <s v="2025-08-26"/>
        <s v="2025-05-27"/>
        <s v="2025-04-12"/>
        <s v="2025-02-03"/>
        <s v="2025-07-23"/>
        <s v="2025-01-29"/>
        <s v="2025-10-16"/>
        <s v="2025-01-28"/>
        <s v="2025-12-18"/>
        <s v="2025-05-01"/>
        <s v="2025-07-16"/>
        <s v="2025-03-26"/>
        <s v="2025-08-11"/>
        <s v="2025-02-11"/>
        <s v="2025-10-01"/>
        <s v="2025-04-30"/>
        <s v="2025-03-13"/>
        <s v="2025-09-07"/>
        <s v="2025-06-06"/>
        <s v="2025-06-12"/>
        <s v="2025-09-25"/>
        <s v="2025-06-15"/>
        <s v="2025-01-18"/>
        <s v="2025-02-28"/>
        <s v="2025-09-29"/>
        <s v="2025-11-24"/>
        <s v="2025-06-17"/>
        <s v="2025-11-22"/>
        <s v="2025-06-14"/>
        <s v="2025-02-22"/>
        <s v="2025-06-29"/>
        <s v="2025-12-03"/>
        <s v="2025-01-16"/>
        <s v="2025-05-12"/>
        <s v="2025-04-03"/>
        <s v="2025-02-14"/>
        <s v="2025-08-08"/>
        <s v="2025-07-21"/>
        <s v="2025-06-10"/>
        <s v="2025-01-05"/>
        <s v="2025-05-28"/>
        <s v="2025-12-13"/>
        <s v="2025-05-26"/>
        <s v="2025-06-16"/>
        <s v="2025-02-02"/>
        <s v="2025-09-15"/>
        <s v="2025-02-17"/>
        <s v="2025-04-17"/>
        <s v="2025-03-22"/>
        <s v="2025-04-25"/>
        <s v="2025-07-30"/>
        <s v="2025-04-15"/>
        <s v="2025-03-19"/>
        <s v="2025-12-08"/>
        <s v="2025-08-22"/>
        <s v="2025-10-09"/>
        <s v="2025-12-25"/>
        <s v="2025-11-15"/>
        <s v="2025-05-29"/>
        <s v="2025-06-02"/>
        <s v="2025-11-06"/>
        <s v="2025-07-05"/>
        <s v="2025-05-15"/>
        <s v="2025-12-14"/>
        <s v="2025-11-17"/>
        <s v="2025-09-16"/>
        <s v="2025-12-10"/>
        <s v="2025-07-03"/>
        <s v="2025-12-09"/>
        <s v="2025-10-02"/>
        <s v="2025-12-29"/>
        <s v="2025-10-12"/>
        <s v="2025-04-13"/>
        <s v="2025-04-19"/>
        <s v="2025-06-20"/>
        <s v="2025-09-24"/>
        <s v="2025-06-27"/>
        <s v="2025-01-01"/>
        <s v="2025-08-04"/>
        <s v="2025-03-28"/>
        <s v="2025-02-21"/>
        <s v="2025-07-27"/>
        <s v="2025-12-21"/>
        <s v="2025-04-09"/>
        <s v="2025-06-01"/>
        <s v="2025-07-14"/>
        <s v="2025-10-11"/>
        <s v="2025-05-08"/>
        <s v="2025-10-13"/>
        <s v="2025-08-29"/>
        <s v="2025-01-31"/>
        <s v="2025-12-01"/>
        <s v="2025-07-12"/>
        <s v="2025-08-13"/>
        <s v="2025-04-29"/>
        <s v="2025-11-13"/>
        <s v="2025-11-11"/>
        <s v="2025-05-20"/>
        <s v="2025-08-18"/>
        <s v="2025-05-14"/>
        <s v="2025-10-06"/>
        <s v="2025-04-23"/>
        <s v="2025-05-24"/>
        <s v="2025-11-28"/>
        <s v="2025-10-10"/>
        <s v="2025-01-27"/>
        <s v="2025-09-23"/>
        <s v="2025-04-22"/>
        <s v="2025-09-19"/>
        <s v="2025-01-24"/>
        <s v="2025-03-31"/>
        <s v="2025-01-08"/>
        <s v="2025-12-11"/>
        <s v="2025-09-03"/>
        <s v="2025-05-21"/>
        <s v="2025-09-27"/>
        <s v="2025-05-22"/>
        <s v="2025-03-29"/>
        <s v="2025-11-03"/>
        <s v="2025-08-16"/>
        <s v="2025-11-05"/>
        <s v="2025-07-10"/>
        <s v="2025-09-28"/>
        <s v="2025-11-25"/>
        <s v="2025-05-18"/>
        <s v="2025-10-08"/>
        <s v="2025-08-12"/>
        <s v="2025-01-19"/>
        <s v="2025-01-21"/>
        <s v="2025-11-10"/>
        <s v="2025-06-11"/>
        <s v="2025-06-28"/>
        <s v="2025-05-17"/>
        <s v="2025-02-15"/>
        <s v="2025-10-18"/>
        <s v="2025-08-20"/>
      </sharedItems>
    </cacheField>
    <cacheField name="Customer_ID" numFmtId="0">
      <sharedItems/>
    </cacheField>
    <cacheField name="Customer_Name" numFmtId="0">
      <sharedItems/>
    </cacheField>
    <cacheField name="Age" numFmtId="0">
      <sharedItems containsString="0" containsBlank="1" containsNumber="1" containsInteger="1" minValue="18" maxValue="65"/>
    </cacheField>
    <cacheField name="Gender" numFmtId="0">
      <sharedItems/>
    </cacheField>
    <cacheField name="City" numFmtId="0">
      <sharedItems containsBlank="1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 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n v="30"/>
    <s v="Female"/>
    <s v="Bengaluru"/>
    <s v="Rice"/>
    <s v="Grocery"/>
    <n v="7"/>
    <n v="2829.77"/>
    <n v="19808.39"/>
  </r>
  <r>
    <x v="1"/>
    <x v="1"/>
    <x v="1"/>
    <x v="1"/>
    <n v="63"/>
    <s v="Male"/>
    <s v="Bengaluru"/>
    <s v="Book"/>
    <s v="Education"/>
    <n v="5"/>
    <n v="27906.16"/>
    <n v="139530.79999999999"/>
  </r>
  <r>
    <x v="2"/>
    <x v="2"/>
    <x v="2"/>
    <x v="2"/>
    <n v="62"/>
    <s v="Female"/>
    <s v="Bengaluru"/>
    <s v="Book"/>
    <s v="Education"/>
    <n v="8"/>
    <n v="37491.06"/>
    <n v="299928.48"/>
  </r>
  <r>
    <x v="3"/>
    <x v="3"/>
    <x v="3"/>
    <x v="3"/>
    <n v="65"/>
    <s v="Female"/>
    <s v="Kolkata"/>
    <s v="Mobile"/>
    <s v="Electronics"/>
    <n v="9"/>
    <n v="28541.360000000001"/>
    <n v="256872.24"/>
  </r>
  <r>
    <x v="4"/>
    <x v="4"/>
    <x v="4"/>
    <x v="4"/>
    <n v="44"/>
    <s v="Male"/>
    <s v="Bengaluru"/>
    <s v="Rice"/>
    <s v="Grocery"/>
    <n v="10"/>
    <n v="14036.59"/>
    <n v="140365.9"/>
  </r>
  <r>
    <x v="5"/>
    <x v="5"/>
    <x v="5"/>
    <x v="5"/>
    <n v="40"/>
    <s v="Female"/>
    <s v="Hyderabad"/>
    <s v="Laptop"/>
    <s v="Electronics"/>
    <n v="9"/>
    <n v="35947.47"/>
    <n v="323527.23"/>
  </r>
  <r>
    <x v="6"/>
    <x v="1"/>
    <x v="6"/>
    <x v="6"/>
    <n v="61"/>
    <s v="Male"/>
    <s v="Patna"/>
    <s v="Mobile"/>
    <s v="Electronics"/>
    <n v="6"/>
    <n v="49997.53"/>
    <n v="299985.18"/>
  </r>
  <r>
    <x v="7"/>
    <x v="6"/>
    <x v="7"/>
    <x v="7"/>
    <n v="35"/>
    <s v="Male"/>
    <s v="Kolkata"/>
    <s v="Laptop"/>
    <s v="Electronics"/>
    <n v="3"/>
    <n v="9488.83"/>
    <n v="28466.49"/>
  </r>
  <r>
    <x v="8"/>
    <x v="7"/>
    <x v="8"/>
    <x v="8"/>
    <n v="41"/>
    <s v="Female"/>
    <s v="Mumbai"/>
    <s v="Book"/>
    <s v="Education"/>
    <n v="6"/>
    <n v="19488.23"/>
    <n v="116929.38"/>
  </r>
  <r>
    <x v="9"/>
    <x v="8"/>
    <x v="9"/>
    <x v="9"/>
    <n v="30"/>
    <s v="Male"/>
    <s v="Kolkata"/>
    <s v="Mobile"/>
    <s v="Electronics"/>
    <n v="8"/>
    <n v="18024.34"/>
    <n v="144194.72"/>
  </r>
  <r>
    <x v="10"/>
    <x v="9"/>
    <x v="10"/>
    <x v="10"/>
    <n v="51"/>
    <s v="Male"/>
    <s v="Delhi"/>
    <s v="Shoes"/>
    <s v="Fashion"/>
    <n v="3"/>
    <n v="14151.42"/>
    <n v="42454.26"/>
  </r>
  <r>
    <x v="11"/>
    <x v="10"/>
    <x v="11"/>
    <x v="11"/>
    <n v="55"/>
    <s v="Female"/>
    <s v="Patna"/>
    <s v="Chair"/>
    <s v="Furniture"/>
    <n v="6"/>
    <n v="47175.43"/>
    <n v="283052.58"/>
  </r>
  <r>
    <x v="12"/>
    <x v="11"/>
    <x v="12"/>
    <x v="12"/>
    <n v="32"/>
    <s v="Male"/>
    <s v="Patna"/>
    <s v="Rice"/>
    <s v="Grocery"/>
    <n v="5"/>
    <n v="7413.68"/>
    <n v="37068.400000000001"/>
  </r>
  <r>
    <x v="13"/>
    <x v="12"/>
    <x v="13"/>
    <x v="13"/>
    <n v="50"/>
    <s v="Female"/>
    <s v="Patna"/>
    <s v="Shoes"/>
    <s v="Fashion"/>
    <n v="8"/>
    <n v="12042.52"/>
    <n v="96340.160000000003"/>
  </r>
  <r>
    <x v="14"/>
    <x v="13"/>
    <x v="14"/>
    <x v="14"/>
    <n v="42"/>
    <s v="Female"/>
    <s v="Patna"/>
    <s v="Mobile"/>
    <s v="Electronics"/>
    <n v="8"/>
    <n v="25465.31"/>
    <n v="203722.48"/>
  </r>
  <r>
    <x v="15"/>
    <x v="14"/>
    <x v="15"/>
    <x v="15"/>
    <n v="36"/>
    <s v="Female"/>
    <s v="Delhi"/>
    <s v="Shoes"/>
    <s v="Fashion"/>
    <n v="10"/>
    <n v="20111.09"/>
    <n v="201110.9"/>
  </r>
  <r>
    <x v="16"/>
    <x v="15"/>
    <x v="16"/>
    <x v="16"/>
    <n v="30"/>
    <s v="Female"/>
    <s v="Delhi"/>
    <s v="Book"/>
    <s v="Education"/>
    <n v="10"/>
    <n v="40109.120000000003"/>
    <n v="401091.2"/>
  </r>
  <r>
    <x v="17"/>
    <x v="16"/>
    <x v="17"/>
    <x v="17"/>
    <n v="31"/>
    <s v="Male"/>
    <s v="Gaya"/>
    <s v="Shoes"/>
    <s v="Fashion"/>
    <n v="1"/>
    <n v="7280.64"/>
    <n v="7280.64"/>
  </r>
  <r>
    <x v="18"/>
    <x v="17"/>
    <x v="18"/>
    <x v="18"/>
    <n v="57"/>
    <s v="Female"/>
    <s v="Mumbai"/>
    <s v="Chair"/>
    <s v="Furniture"/>
    <n v="5"/>
    <n v="6122.59"/>
    <n v="30612.95"/>
  </r>
  <r>
    <x v="19"/>
    <x v="18"/>
    <x v="19"/>
    <x v="19"/>
    <n v="34"/>
    <s v="Male"/>
    <s v="Kolkata"/>
    <s v="Laptop"/>
    <s v="Electronics"/>
    <n v="8"/>
    <n v="23770.36"/>
    <n v="190162.88"/>
  </r>
  <r>
    <x v="20"/>
    <x v="19"/>
    <x v="20"/>
    <x v="20"/>
    <n v="65"/>
    <s v="Male"/>
    <s v="Pune"/>
    <s v="Shoes"/>
    <s v="Fashion"/>
    <n v="1"/>
    <n v="2344.98"/>
    <n v="2344.98"/>
  </r>
  <r>
    <x v="21"/>
    <x v="20"/>
    <x v="21"/>
    <x v="21"/>
    <n v="31"/>
    <s v="Female"/>
    <s v="Mumbai"/>
    <s v="Book"/>
    <s v="Education"/>
    <n v="7"/>
    <n v="15396.37"/>
    <n v="107774.59"/>
  </r>
  <r>
    <x v="22"/>
    <x v="21"/>
    <x v="22"/>
    <x v="22"/>
    <n v="52"/>
    <s v="Male"/>
    <s v="Gaya"/>
    <s v="Shoes"/>
    <s v="Fashion"/>
    <n v="10"/>
    <n v="31576.5"/>
    <n v="315765"/>
  </r>
  <r>
    <x v="23"/>
    <x v="22"/>
    <x v="23"/>
    <x v="23"/>
    <n v="44"/>
    <s v="Male"/>
    <s v="Patna"/>
    <s v="Laptop"/>
    <s v="Electronics"/>
    <n v="2"/>
    <n v="11127.06"/>
    <n v="22254.12"/>
  </r>
  <r>
    <x v="24"/>
    <x v="23"/>
    <x v="24"/>
    <x v="24"/>
    <n v="30"/>
    <s v="Male"/>
    <s v="Pune"/>
    <s v="Rice"/>
    <s v="Grocery"/>
    <n v="7"/>
    <n v="36069.86"/>
    <n v="252489.02"/>
  </r>
  <r>
    <x v="25"/>
    <x v="24"/>
    <x v="25"/>
    <x v="25"/>
    <n v="65"/>
    <s v="Male"/>
    <s v="Mumbai"/>
    <s v="Book"/>
    <s v="Education"/>
    <n v="9"/>
    <n v="39414.46"/>
    <n v="354730.14"/>
  </r>
  <r>
    <x v="26"/>
    <x v="25"/>
    <x v="26"/>
    <x v="26"/>
    <n v="35"/>
    <s v="Female"/>
    <s v="Mumbai"/>
    <s v="Rice"/>
    <s v="Grocery"/>
    <n v="2"/>
    <n v="23837.41"/>
    <n v="47674.82"/>
  </r>
  <r>
    <x v="27"/>
    <x v="26"/>
    <x v="27"/>
    <x v="27"/>
    <n v="32"/>
    <s v="Female"/>
    <s v="Patna"/>
    <s v="Laptop"/>
    <s v="Electronics"/>
    <n v="5"/>
    <n v="14534.79"/>
    <n v="72673.95"/>
  </r>
  <r>
    <x v="28"/>
    <x v="27"/>
    <x v="28"/>
    <x v="28"/>
    <n v="38"/>
    <s v="Female"/>
    <s v="Bengaluru"/>
    <s v="Mobile"/>
    <s v="Electronics"/>
    <n v="10"/>
    <n v="21393.69"/>
    <n v="213936.9"/>
  </r>
  <r>
    <x v="29"/>
    <x v="28"/>
    <x v="29"/>
    <x v="29"/>
    <n v="33"/>
    <s v="Male"/>
    <s v="Gaya"/>
    <s v="Rice"/>
    <s v="Grocery"/>
    <n v="2"/>
    <n v="21382.16"/>
    <n v="42764.32"/>
  </r>
  <r>
    <x v="30"/>
    <x v="2"/>
    <x v="30"/>
    <x v="30"/>
    <n v="33"/>
    <s v="Female"/>
    <s v="Mumbai"/>
    <s v="Mobile"/>
    <s v="Electronics"/>
    <n v="1"/>
    <n v="15831.03"/>
    <n v="15831.03"/>
  </r>
  <r>
    <x v="31"/>
    <x v="29"/>
    <x v="31"/>
    <x v="31"/>
    <n v="21"/>
    <s v="Female"/>
    <s v="Mumbai"/>
    <s v="Book"/>
    <s v="Education"/>
    <n v="8"/>
    <n v="21791.66"/>
    <n v="174333.28"/>
  </r>
  <r>
    <x v="32"/>
    <x v="30"/>
    <x v="32"/>
    <x v="32"/>
    <n v="44"/>
    <s v="Female"/>
    <s v="Mumbai"/>
    <s v="Laptop"/>
    <s v="Electronics"/>
    <n v="5"/>
    <n v="17556.080000000002"/>
    <n v="87780.4"/>
  </r>
  <r>
    <x v="33"/>
    <x v="31"/>
    <x v="33"/>
    <x v="33"/>
    <n v="18"/>
    <s v="Female"/>
    <s v="Gaya"/>
    <s v="Laptop"/>
    <s v="Electronics"/>
    <n v="5"/>
    <n v="46822.84"/>
    <n v="234114.2"/>
  </r>
  <r>
    <x v="34"/>
    <x v="32"/>
    <x v="34"/>
    <x v="34"/>
    <n v="36"/>
    <s v="Female"/>
    <s v="Gaya"/>
    <s v="Mobile"/>
    <s v="Electronics"/>
    <n v="4"/>
    <n v="47896.7"/>
    <n v="191586.8"/>
  </r>
  <r>
    <x v="35"/>
    <x v="33"/>
    <x v="35"/>
    <x v="35"/>
    <n v="46"/>
    <s v="Male"/>
    <s v="Bengaluru"/>
    <s v="Laptop"/>
    <s v="Electronics"/>
    <n v="8"/>
    <n v="44911.49"/>
    <n v="359291.92"/>
  </r>
  <r>
    <x v="36"/>
    <x v="34"/>
    <x v="36"/>
    <x v="29"/>
    <n v="23"/>
    <s v="Male"/>
    <s v="Delhi"/>
    <s v="Chair"/>
    <s v="Furniture"/>
    <n v="7"/>
    <n v="40746.79"/>
    <n v="285227.53000000003"/>
  </r>
  <r>
    <x v="37"/>
    <x v="35"/>
    <x v="37"/>
    <x v="36"/>
    <n v="29"/>
    <s v="Male"/>
    <s v="Kolkata"/>
    <s v="Rice"/>
    <s v="Grocery"/>
    <n v="4"/>
    <n v="4794.08"/>
    <n v="19176.32"/>
  </r>
  <r>
    <x v="38"/>
    <x v="36"/>
    <x v="38"/>
    <x v="37"/>
    <n v="58"/>
    <s v="Female"/>
    <s v="Bengaluru"/>
    <s v="Shoes"/>
    <s v="Fashion"/>
    <n v="8"/>
    <n v="29270.98"/>
    <n v="234167.84"/>
  </r>
  <r>
    <x v="39"/>
    <x v="37"/>
    <x v="39"/>
    <x v="38"/>
    <n v="39"/>
    <s v="Female"/>
    <s v="Mumbai"/>
    <s v="Shoes"/>
    <s v="Fashion"/>
    <n v="1"/>
    <n v="3992.85"/>
    <n v="3992.85"/>
  </r>
  <r>
    <x v="40"/>
    <x v="38"/>
    <x v="40"/>
    <x v="39"/>
    <n v="50"/>
    <s v="Female"/>
    <s v="Hyderabad"/>
    <s v="Mobile"/>
    <s v="Electronics"/>
    <n v="5"/>
    <n v="44365.94"/>
    <n v="221829.7"/>
  </r>
  <r>
    <x v="41"/>
    <x v="39"/>
    <x v="41"/>
    <x v="40"/>
    <n v="43"/>
    <s v="Female"/>
    <s v="Kolkata"/>
    <s v="Mobile"/>
    <s v="Electronics"/>
    <n v="4"/>
    <n v="29915.72"/>
    <n v="119662.88"/>
  </r>
  <r>
    <x v="42"/>
    <x v="40"/>
    <x v="42"/>
    <x v="41"/>
    <n v="58"/>
    <s v="Male"/>
    <s v="Patna"/>
    <s v="Chair"/>
    <s v="Furniture"/>
    <n v="6"/>
    <n v="16521.439999999999"/>
    <n v="99128.639999999999"/>
  </r>
  <r>
    <x v="43"/>
    <x v="41"/>
    <x v="43"/>
    <x v="42"/>
    <n v="55"/>
    <s v="Female"/>
    <s v="Bengaluru"/>
    <s v="Rice"/>
    <s v="Grocery"/>
    <n v="6"/>
    <n v="14399.11"/>
    <n v="86394.66"/>
  </r>
  <r>
    <x v="44"/>
    <x v="42"/>
    <x v="44"/>
    <x v="43"/>
    <n v="27"/>
    <s v="Female"/>
    <s v="Hyderabad"/>
    <s v="Shoes"/>
    <s v="Fashion"/>
    <n v="9"/>
    <n v="1491.63"/>
    <n v="13424.67"/>
  </r>
  <r>
    <x v="45"/>
    <x v="43"/>
    <x v="45"/>
    <x v="44"/>
    <n v="34"/>
    <s v="Male"/>
    <s v="Mumbai"/>
    <s v="Rice"/>
    <s v="Grocery"/>
    <n v="2"/>
    <n v="6210.24"/>
    <n v="12420.48"/>
  </r>
  <r>
    <x v="46"/>
    <x v="44"/>
    <x v="46"/>
    <x v="45"/>
    <n v="42"/>
    <s v="Female"/>
    <s v="Delhi"/>
    <s v="Mobile"/>
    <s v="Electronics"/>
    <n v="2"/>
    <n v="47649.61"/>
    <n v="95299.22"/>
  </r>
  <r>
    <x v="47"/>
    <x v="45"/>
    <x v="47"/>
    <x v="46"/>
    <n v="55"/>
    <s v="Male"/>
    <s v="Kolkata"/>
    <s v="Mobile"/>
    <s v="Electronics"/>
    <n v="5"/>
    <n v="24854.05"/>
    <n v="124270.25"/>
  </r>
  <r>
    <x v="48"/>
    <x v="46"/>
    <x v="48"/>
    <x v="47"/>
    <m/>
    <s v="Male"/>
    <s v="Pune"/>
    <s v="Chair"/>
    <s v="Furniture"/>
    <n v="9"/>
    <n v="30834.87"/>
    <n v="277513.83"/>
  </r>
  <r>
    <x v="49"/>
    <x v="47"/>
    <x v="49"/>
    <x v="48"/>
    <n v="39"/>
    <s v="Female"/>
    <s v="Mumbai"/>
    <s v="Chair"/>
    <s v="Furniture"/>
    <n v="6"/>
    <n v="20561.97"/>
    <n v="123371.82"/>
  </r>
  <r>
    <x v="50"/>
    <x v="48"/>
    <x v="50"/>
    <x v="49"/>
    <n v="58"/>
    <s v="Male"/>
    <s v="Patna"/>
    <s v="Book"/>
    <s v="Education"/>
    <n v="10"/>
    <n v="49367.75"/>
    <n v="493677.5"/>
  </r>
  <r>
    <x v="51"/>
    <x v="49"/>
    <x v="51"/>
    <x v="50"/>
    <n v="33"/>
    <s v="Male"/>
    <s v="Delhi"/>
    <s v="Laptop"/>
    <s v="Electronics"/>
    <n v="6"/>
    <n v="4656.1000000000004"/>
    <n v="27936.6"/>
  </r>
  <r>
    <x v="52"/>
    <x v="50"/>
    <x v="52"/>
    <x v="51"/>
    <n v="58"/>
    <s v="Male"/>
    <s v="Delhi"/>
    <s v="Rice"/>
    <s v="Grocery"/>
    <n v="7"/>
    <n v="42345.82"/>
    <n v="296420.74"/>
  </r>
  <r>
    <x v="53"/>
    <x v="8"/>
    <x v="53"/>
    <x v="52"/>
    <n v="42"/>
    <s v="Female"/>
    <s v="Pune"/>
    <s v="Shoes"/>
    <s v="Fashion"/>
    <n v="7"/>
    <n v="37747.24"/>
    <n v="264230.68"/>
  </r>
  <r>
    <x v="54"/>
    <x v="51"/>
    <x v="54"/>
    <x v="53"/>
    <n v="26"/>
    <s v="Male"/>
    <s v="Delhi"/>
    <s v="Book"/>
    <s v="Education"/>
    <n v="2"/>
    <n v="33304.17"/>
    <n v="66608.34"/>
  </r>
  <r>
    <x v="55"/>
    <x v="52"/>
    <x v="55"/>
    <x v="54"/>
    <n v="58"/>
    <s v="Female"/>
    <s v="Bengaluru"/>
    <s v="Laptop"/>
    <s v="Electronics"/>
    <n v="6"/>
    <n v="41157.440000000002"/>
    <n v="246944.64000000001"/>
  </r>
  <r>
    <x v="56"/>
    <x v="13"/>
    <x v="56"/>
    <x v="55"/>
    <n v="18"/>
    <s v="Female"/>
    <s v="Bengaluru"/>
    <s v="Chair"/>
    <s v="Furniture"/>
    <n v="7"/>
    <n v="47669.63"/>
    <n v="333687.40999999997"/>
  </r>
  <r>
    <x v="57"/>
    <x v="53"/>
    <x v="57"/>
    <x v="56"/>
    <n v="50"/>
    <s v="Female"/>
    <s v="Bengaluru"/>
    <s v="Chair"/>
    <s v="Furniture"/>
    <n v="1"/>
    <n v="44708.5"/>
    <n v="44708.5"/>
  </r>
  <r>
    <x v="58"/>
    <x v="54"/>
    <x v="58"/>
    <x v="57"/>
    <n v="47"/>
    <s v="Female"/>
    <s v="Mumbai"/>
    <s v="Mobile"/>
    <s v="Electronics"/>
    <n v="5"/>
    <n v="36809.08"/>
    <n v="184045.4"/>
  </r>
  <r>
    <x v="59"/>
    <x v="55"/>
    <x v="59"/>
    <x v="28"/>
    <n v="46"/>
    <s v="Male"/>
    <s v="Pune"/>
    <s v="Mobile"/>
    <s v="Electronics"/>
    <n v="4"/>
    <n v="25292.97"/>
    <n v="101171.88"/>
  </r>
  <r>
    <x v="60"/>
    <x v="56"/>
    <x v="60"/>
    <x v="26"/>
    <n v="27"/>
    <s v="Male"/>
    <s v="Mumbai"/>
    <s v="Shoes"/>
    <s v="Fashion"/>
    <n v="1"/>
    <n v="29263.26"/>
    <n v="29263.26"/>
  </r>
  <r>
    <x v="61"/>
    <x v="57"/>
    <x v="61"/>
    <x v="58"/>
    <n v="43"/>
    <s v="Female"/>
    <s v="Kolkata"/>
    <s v="Laptop"/>
    <s v="Electronics"/>
    <n v="3"/>
    <n v="5679.91"/>
    <n v="17039.73"/>
  </r>
  <r>
    <x v="62"/>
    <x v="58"/>
    <x v="62"/>
    <x v="11"/>
    <n v="21"/>
    <s v="Male"/>
    <s v="Hyderabad"/>
    <s v="Chair"/>
    <s v="Furniture"/>
    <n v="6"/>
    <n v="46235.96"/>
    <n v="277415.76"/>
  </r>
  <r>
    <x v="63"/>
    <x v="59"/>
    <x v="63"/>
    <x v="59"/>
    <n v="47"/>
    <s v="Male"/>
    <s v="Gaya"/>
    <s v="Rice"/>
    <s v="Grocery"/>
    <n v="9"/>
    <n v="27164.06"/>
    <n v="244476.54"/>
  </r>
  <r>
    <x v="64"/>
    <x v="60"/>
    <x v="64"/>
    <x v="60"/>
    <n v="53"/>
    <s v="Male"/>
    <s v="Kolkata"/>
    <s v="Mobile"/>
    <s v="Electronics"/>
    <n v="10"/>
    <n v="8905.49"/>
    <n v="89054.9"/>
  </r>
  <r>
    <x v="65"/>
    <x v="61"/>
    <x v="65"/>
    <x v="61"/>
    <n v="36"/>
    <s v="Female"/>
    <s v="Patna"/>
    <s v="Book"/>
    <s v="Education"/>
    <n v="10"/>
    <n v="17406.52"/>
    <n v="174065.2"/>
  </r>
  <r>
    <x v="66"/>
    <x v="0"/>
    <x v="66"/>
    <x v="6"/>
    <n v="39"/>
    <s v="Female"/>
    <s v="Delhi"/>
    <s v="Chair"/>
    <s v="Furniture"/>
    <n v="5"/>
    <n v="27366.58"/>
    <n v="136832.9"/>
  </r>
  <r>
    <x v="67"/>
    <x v="62"/>
    <x v="67"/>
    <x v="62"/>
    <n v="40"/>
    <s v="Female"/>
    <s v="Hyderabad"/>
    <s v="Book"/>
    <s v="Education"/>
    <n v="5"/>
    <n v="41282.629999999997"/>
    <n v="206413.15"/>
  </r>
  <r>
    <x v="68"/>
    <x v="63"/>
    <x v="68"/>
    <x v="63"/>
    <n v="26"/>
    <s v="Female"/>
    <s v="Delhi"/>
    <s v="Book"/>
    <s v="Education"/>
    <n v="8"/>
    <n v="13645.41"/>
    <n v="109163.28"/>
  </r>
  <r>
    <x v="69"/>
    <x v="64"/>
    <x v="69"/>
    <x v="64"/>
    <n v="56"/>
    <s v="Male"/>
    <s v="Patna"/>
    <s v="Chair"/>
    <s v="Furniture"/>
    <n v="8"/>
    <n v="27337.64"/>
    <n v="218701.12"/>
  </r>
  <r>
    <x v="70"/>
    <x v="65"/>
    <x v="70"/>
    <x v="65"/>
    <n v="52"/>
    <s v="Female"/>
    <s v="Hyderabad"/>
    <s v="Shoes"/>
    <s v="Fashion"/>
    <n v="5"/>
    <n v="29219.72"/>
    <n v="146098.6"/>
  </r>
  <r>
    <x v="71"/>
    <x v="66"/>
    <x v="71"/>
    <x v="66"/>
    <n v="45"/>
    <s v="Male"/>
    <s v="Gaya"/>
    <s v="Rice"/>
    <s v="Grocery"/>
    <n v="3"/>
    <n v="8572.65"/>
    <n v="25717.95"/>
  </r>
  <r>
    <x v="72"/>
    <x v="30"/>
    <x v="72"/>
    <x v="67"/>
    <n v="27"/>
    <s v="Male"/>
    <s v="Pune"/>
    <s v="Laptop"/>
    <s v="Electronics"/>
    <n v="9"/>
    <n v="45419.62"/>
    <n v="408776.58"/>
  </r>
  <r>
    <x v="73"/>
    <x v="67"/>
    <x v="73"/>
    <x v="68"/>
    <n v="58"/>
    <s v="Male"/>
    <m/>
    <s v="Mobile"/>
    <s v="Electronics"/>
    <n v="4"/>
    <n v="21599.26"/>
    <n v="86397.04"/>
  </r>
  <r>
    <x v="74"/>
    <x v="68"/>
    <x v="74"/>
    <x v="69"/>
    <n v="45"/>
    <s v="Male"/>
    <s v="Gaya"/>
    <s v="Laptop"/>
    <s v="Electronics"/>
    <n v="2"/>
    <n v="8883.4500000000007"/>
    <n v="17766.900000000001"/>
  </r>
  <r>
    <x v="75"/>
    <x v="69"/>
    <x v="75"/>
    <x v="70"/>
    <n v="22"/>
    <s v="Female"/>
    <s v="Bengaluru"/>
    <s v="Shoes"/>
    <s v="Fashion"/>
    <n v="9"/>
    <n v="12290.45"/>
    <n v="110614.05"/>
  </r>
  <r>
    <x v="76"/>
    <x v="70"/>
    <x v="76"/>
    <x v="71"/>
    <n v="58"/>
    <s v="Female"/>
    <s v="Patna"/>
    <s v="Book"/>
    <s v="Education"/>
    <n v="6"/>
    <n v="10784.64"/>
    <n v="64707.839999999997"/>
  </r>
  <r>
    <x v="77"/>
    <x v="71"/>
    <x v="77"/>
    <x v="72"/>
    <n v="62"/>
    <s v="Female"/>
    <s v="Delhi"/>
    <s v="Rice"/>
    <s v="Grocery"/>
    <n v="1"/>
    <n v="35862.339999999997"/>
    <n v="35862.339999999997"/>
  </r>
  <r>
    <x v="78"/>
    <x v="72"/>
    <x v="78"/>
    <x v="73"/>
    <n v="61"/>
    <s v="Female"/>
    <s v="Gaya"/>
    <s v="Rice"/>
    <s v="Grocery"/>
    <n v="1"/>
    <n v="13129.64"/>
    <n v="13129.64"/>
  </r>
  <r>
    <x v="79"/>
    <x v="73"/>
    <x v="79"/>
    <x v="74"/>
    <n v="19"/>
    <s v="Female"/>
    <s v="Gaya"/>
    <s v="Chair"/>
    <s v="Furniture"/>
    <n v="9"/>
    <n v="45747.37"/>
    <n v="411726.33"/>
  </r>
  <r>
    <x v="80"/>
    <x v="74"/>
    <x v="80"/>
    <x v="22"/>
    <n v="25"/>
    <s v="Female"/>
    <s v="Hyderabad"/>
    <s v="Book"/>
    <s v="Education"/>
    <n v="6"/>
    <n v="5849.89"/>
    <n v="35099.339999999997"/>
  </r>
  <r>
    <x v="81"/>
    <x v="75"/>
    <x v="81"/>
    <x v="75"/>
    <n v="30"/>
    <s v="Male"/>
    <s v="Hyderabad"/>
    <s v="Laptop"/>
    <s v="Electronics"/>
    <n v="9"/>
    <n v="48845.5"/>
    <n v="439609.5"/>
  </r>
  <r>
    <x v="82"/>
    <x v="76"/>
    <x v="82"/>
    <x v="76"/>
    <n v="36"/>
    <s v="Male"/>
    <s v="Gaya"/>
    <s v="Book"/>
    <s v="Education"/>
    <n v="9"/>
    <n v="24828.05"/>
    <n v="223452.45"/>
  </r>
  <r>
    <x v="83"/>
    <x v="36"/>
    <x v="83"/>
    <x v="77"/>
    <n v="59"/>
    <s v="Male"/>
    <s v="Delhi"/>
    <s v="Mobile"/>
    <s v="Electronics"/>
    <n v="8"/>
    <n v="17841.400000000001"/>
    <n v="142731.20000000001"/>
  </r>
  <r>
    <x v="84"/>
    <x v="77"/>
    <x v="84"/>
    <x v="78"/>
    <n v="51"/>
    <s v="Male"/>
    <s v="Hyderabad"/>
    <s v="Book"/>
    <s v="Education"/>
    <n v="10"/>
    <n v="13662.66"/>
    <n v="136626.6"/>
  </r>
  <r>
    <x v="85"/>
    <x v="78"/>
    <x v="85"/>
    <x v="79"/>
    <n v="56"/>
    <s v="Male"/>
    <s v="Mumbai"/>
    <s v="Book"/>
    <s v="Education"/>
    <n v="4"/>
    <n v="12169.49"/>
    <n v="48677.96"/>
  </r>
  <r>
    <x v="86"/>
    <x v="79"/>
    <x v="86"/>
    <x v="80"/>
    <n v="59"/>
    <s v="Female"/>
    <s v="Kolkata"/>
    <s v="Mobile"/>
    <s v="Electronics"/>
    <n v="6"/>
    <n v="349.06"/>
    <n v="2094.36"/>
  </r>
  <r>
    <x v="87"/>
    <x v="8"/>
    <x v="87"/>
    <x v="81"/>
    <n v="44"/>
    <s v="Female"/>
    <s v="Delhi"/>
    <s v="Laptop"/>
    <s v="Electronics"/>
    <n v="8"/>
    <n v="20498.740000000002"/>
    <n v="163989.92000000001"/>
  </r>
  <r>
    <x v="88"/>
    <x v="80"/>
    <x v="88"/>
    <x v="82"/>
    <n v="21"/>
    <s v="Female"/>
    <s v="Hyderabad"/>
    <s v="Book"/>
    <s v="Education"/>
    <n v="9"/>
    <n v="13111.39"/>
    <n v="118002.51"/>
  </r>
  <r>
    <x v="89"/>
    <x v="81"/>
    <x v="89"/>
    <x v="82"/>
    <n v="34"/>
    <s v="Male"/>
    <s v="Mumbai"/>
    <s v="Rice"/>
    <s v="Grocery"/>
    <n v="9"/>
    <n v="45000.49"/>
    <n v="405004.41"/>
  </r>
  <r>
    <x v="90"/>
    <x v="82"/>
    <x v="90"/>
    <x v="83"/>
    <n v="48"/>
    <s v="Male"/>
    <s v="Kolkata"/>
    <s v="Laptop"/>
    <s v="Electronics"/>
    <n v="2"/>
    <n v="3455.06"/>
    <n v="6910.12"/>
  </r>
  <r>
    <x v="91"/>
    <x v="83"/>
    <x v="91"/>
    <x v="84"/>
    <n v="19"/>
    <s v="Male"/>
    <s v="Pune"/>
    <s v="Shoes"/>
    <s v="Fashion"/>
    <n v="8"/>
    <n v="28874.639999999999"/>
    <n v="230997.12"/>
  </r>
  <r>
    <x v="92"/>
    <x v="84"/>
    <x v="92"/>
    <x v="85"/>
    <n v="32"/>
    <s v="Male"/>
    <s v="Delhi"/>
    <s v="Shoes"/>
    <s v="Fashion"/>
    <n v="3"/>
    <n v="47917.49"/>
    <n v="143752.47"/>
  </r>
  <r>
    <x v="93"/>
    <x v="85"/>
    <x v="93"/>
    <x v="86"/>
    <n v="47"/>
    <s v="Male"/>
    <s v="Bengaluru"/>
    <s v="Rice"/>
    <s v="Grocery"/>
    <n v="10"/>
    <n v="21399.51"/>
    <n v="213995.1"/>
  </r>
  <r>
    <x v="94"/>
    <x v="38"/>
    <x v="94"/>
    <x v="87"/>
    <n v="38"/>
    <s v="Male"/>
    <s v="Hyderabad"/>
    <s v="Rice"/>
    <s v="Grocery"/>
    <n v="5"/>
    <n v="15127.88"/>
    <n v="75639.399999999994"/>
  </r>
  <r>
    <x v="95"/>
    <x v="86"/>
    <x v="95"/>
    <x v="88"/>
    <n v="62"/>
    <s v="Female"/>
    <s v="Mumbai"/>
    <s v="Shoes"/>
    <s v="Fashion"/>
    <n v="7"/>
    <n v="41677.339999999997"/>
    <n v="291741.38"/>
  </r>
  <r>
    <x v="96"/>
    <x v="87"/>
    <x v="96"/>
    <x v="89"/>
    <n v="32"/>
    <s v="Male"/>
    <s v="Hyderabad"/>
    <s v="Mobile"/>
    <s v="Electronics"/>
    <n v="10"/>
    <n v="40745.550000000003"/>
    <n v="407455.5"/>
  </r>
  <r>
    <x v="97"/>
    <x v="88"/>
    <x v="97"/>
    <x v="90"/>
    <n v="54"/>
    <s v="Male"/>
    <s v="Gaya"/>
    <s v="Mobile"/>
    <s v="Electronics"/>
    <n v="2"/>
    <n v="31217.119999999999"/>
    <n v="62434.239999999998"/>
  </r>
  <r>
    <x v="98"/>
    <x v="89"/>
    <x v="98"/>
    <x v="91"/>
    <m/>
    <s v="Male"/>
    <s v="Patna"/>
    <s v="Laptop"/>
    <s v="Electronics"/>
    <n v="5"/>
    <n v="553.62"/>
    <n v="2768.1"/>
  </r>
  <r>
    <x v="99"/>
    <x v="90"/>
    <x v="99"/>
    <x v="17"/>
    <n v="47"/>
    <s v="Male"/>
    <s v="Pune"/>
    <s v="Rice"/>
    <s v="Grocery"/>
    <n v="4"/>
    <n v="6974.66"/>
    <n v="27898.639999999999"/>
  </r>
  <r>
    <x v="100"/>
    <x v="91"/>
    <x v="100"/>
    <x v="92"/>
    <n v="20"/>
    <s v="Female"/>
    <s v="Kolkata"/>
    <s v="Book"/>
    <s v="Education"/>
    <n v="9"/>
    <n v="19437.88"/>
    <n v="174940.92"/>
  </r>
  <r>
    <x v="101"/>
    <x v="92"/>
    <x v="101"/>
    <x v="93"/>
    <n v="43"/>
    <s v="Female"/>
    <s v="Mumbai"/>
    <s v="Laptop"/>
    <s v="Electronics"/>
    <n v="9"/>
    <n v="13617.93"/>
    <n v="122561.37"/>
  </r>
  <r>
    <x v="102"/>
    <x v="53"/>
    <x v="102"/>
    <x v="94"/>
    <n v="54"/>
    <s v="Male"/>
    <s v="Gaya"/>
    <s v="Chair"/>
    <s v="Furniture"/>
    <n v="8"/>
    <n v="38897.58"/>
    <n v="311180.64"/>
  </r>
  <r>
    <x v="103"/>
    <x v="21"/>
    <x v="103"/>
    <x v="62"/>
    <n v="44"/>
    <s v="Female"/>
    <s v="Gaya"/>
    <s v="Book"/>
    <s v="Education"/>
    <n v="6"/>
    <n v="8547.07"/>
    <n v="51282.42"/>
  </r>
  <r>
    <x v="104"/>
    <x v="93"/>
    <x v="104"/>
    <x v="95"/>
    <n v="44"/>
    <s v="Male"/>
    <s v="Mumbai"/>
    <s v="Chair"/>
    <s v="Furniture"/>
    <n v="7"/>
    <n v="46263.01"/>
    <n v="323841.07"/>
  </r>
  <r>
    <x v="105"/>
    <x v="28"/>
    <x v="105"/>
    <x v="96"/>
    <n v="32"/>
    <s v="Male"/>
    <s v="Patna"/>
    <s v="Book"/>
    <s v="Education"/>
    <n v="2"/>
    <n v="2814.55"/>
    <n v="5629.1"/>
  </r>
  <r>
    <x v="106"/>
    <x v="18"/>
    <x v="106"/>
    <x v="97"/>
    <n v="33"/>
    <s v="Male"/>
    <s v="Pune"/>
    <s v="Mobile"/>
    <s v="Electronics"/>
    <n v="8"/>
    <n v="41112.050000000003"/>
    <n v="328896.40000000002"/>
  </r>
  <r>
    <x v="107"/>
    <x v="94"/>
    <x v="107"/>
    <x v="98"/>
    <n v="29"/>
    <s v="Male"/>
    <s v="Patna"/>
    <s v="Book"/>
    <s v="Education"/>
    <n v="4"/>
    <n v="36826.879999999997"/>
    <n v="147307.51999999999"/>
  </r>
  <r>
    <x v="108"/>
    <x v="95"/>
    <x v="108"/>
    <x v="83"/>
    <n v="44"/>
    <s v="Male"/>
    <s v="Hyderabad"/>
    <s v="Chair"/>
    <s v="Furniture"/>
    <n v="3"/>
    <n v="42806.52"/>
    <n v="128419.56"/>
  </r>
  <r>
    <x v="109"/>
    <x v="96"/>
    <x v="109"/>
    <x v="18"/>
    <n v="28"/>
    <s v="Female"/>
    <s v="Kolkata"/>
    <s v="Laptop"/>
    <s v="Electronics"/>
    <n v="6"/>
    <n v="5533"/>
    <n v="33198"/>
  </r>
  <r>
    <x v="110"/>
    <x v="97"/>
    <x v="110"/>
    <x v="99"/>
    <n v="32"/>
    <s v="Male"/>
    <s v="Gaya"/>
    <s v="Laptop"/>
    <s v="Electronics"/>
    <n v="3"/>
    <n v="2638.97"/>
    <n v="7916.91"/>
  </r>
  <r>
    <x v="111"/>
    <x v="98"/>
    <x v="111"/>
    <x v="100"/>
    <n v="49"/>
    <s v="Male"/>
    <s v="Delhi"/>
    <s v="Book"/>
    <s v="Education"/>
    <n v="4"/>
    <n v="25002.720000000001"/>
    <n v="100010.88"/>
  </r>
  <r>
    <x v="112"/>
    <x v="99"/>
    <x v="112"/>
    <x v="34"/>
    <n v="35"/>
    <s v="Female"/>
    <s v="Hyderabad"/>
    <s v="Book"/>
    <s v="Education"/>
    <n v="10"/>
    <n v="10391.75"/>
    <n v="103917.5"/>
  </r>
  <r>
    <x v="113"/>
    <x v="48"/>
    <x v="113"/>
    <x v="101"/>
    <n v="48"/>
    <s v="Male"/>
    <s v="Bengaluru"/>
    <s v="Book"/>
    <s v="Education"/>
    <n v="10"/>
    <n v="22437.16"/>
    <n v="224371.6"/>
  </r>
  <r>
    <x v="114"/>
    <x v="88"/>
    <x v="114"/>
    <x v="102"/>
    <n v="63"/>
    <s v="Female"/>
    <s v="Hyderabad"/>
    <s v="Laptop"/>
    <s v="Electronics"/>
    <n v="9"/>
    <n v="41053.56"/>
    <n v="369482.04"/>
  </r>
  <r>
    <x v="115"/>
    <x v="100"/>
    <x v="115"/>
    <x v="103"/>
    <n v="46"/>
    <s v="Female"/>
    <s v="Patna"/>
    <s v="Rice"/>
    <s v="Grocery"/>
    <n v="2"/>
    <n v="21391.19"/>
    <n v="42782.38"/>
  </r>
  <r>
    <x v="116"/>
    <x v="94"/>
    <x v="116"/>
    <x v="104"/>
    <n v="33"/>
    <s v="Female"/>
    <s v="Delhi"/>
    <s v="Chair"/>
    <s v="Furniture"/>
    <n v="4"/>
    <n v="36875.19"/>
    <n v="147500.76"/>
  </r>
  <r>
    <x v="117"/>
    <x v="24"/>
    <x v="117"/>
    <x v="105"/>
    <n v="49"/>
    <s v="Female"/>
    <s v="Hyderabad"/>
    <s v="Mobile"/>
    <s v="Electronics"/>
    <n v="4"/>
    <n v="41640.74"/>
    <n v="166562.96"/>
  </r>
  <r>
    <x v="48"/>
    <x v="87"/>
    <x v="118"/>
    <x v="106"/>
    <n v="34"/>
    <s v="Male"/>
    <s v="Kolkata"/>
    <s v="Book"/>
    <s v="Education"/>
    <n v="2"/>
    <n v="25795.55"/>
    <n v="51591.1"/>
  </r>
  <r>
    <x v="118"/>
    <x v="101"/>
    <x v="119"/>
    <x v="107"/>
    <n v="24"/>
    <s v="Male"/>
    <s v="Gaya"/>
    <s v="Book"/>
    <s v="Education"/>
    <n v="8"/>
    <n v="4391.72"/>
    <n v="35133.760000000002"/>
  </r>
  <r>
    <x v="119"/>
    <x v="102"/>
    <x v="120"/>
    <x v="71"/>
    <n v="39"/>
    <s v="Female"/>
    <s v="Patna"/>
    <s v="Laptop"/>
    <s v="Electronics"/>
    <n v="2"/>
    <n v="18152.14"/>
    <n v="36304.28"/>
  </r>
  <r>
    <x v="120"/>
    <x v="4"/>
    <x v="121"/>
    <x v="108"/>
    <n v="23"/>
    <s v="Male"/>
    <s v="Hyderabad"/>
    <s v="Mobile"/>
    <s v="Electronics"/>
    <n v="7"/>
    <n v="16254.12"/>
    <n v="113778.84"/>
  </r>
  <r>
    <x v="121"/>
    <x v="103"/>
    <x v="122"/>
    <x v="109"/>
    <n v="53"/>
    <s v="Male"/>
    <s v="Hyderabad"/>
    <s v="Shoes"/>
    <s v="Fashion"/>
    <n v="5"/>
    <n v="3805.27"/>
    <n v="19026.349999999999"/>
  </r>
  <r>
    <x v="122"/>
    <x v="92"/>
    <x v="123"/>
    <x v="110"/>
    <n v="33"/>
    <s v="Male"/>
    <s v="Hyderabad"/>
    <s v="Book"/>
    <s v="Education"/>
    <n v="7"/>
    <n v="46489.41"/>
    <n v="325425.87"/>
  </r>
  <r>
    <x v="123"/>
    <x v="104"/>
    <x v="124"/>
    <x v="111"/>
    <n v="34"/>
    <s v="Female"/>
    <s v="Patna"/>
    <s v="Shoes"/>
    <s v="Fashion"/>
    <n v="1"/>
    <n v="17041.21"/>
    <n v="17041.21"/>
  </r>
  <r>
    <x v="124"/>
    <x v="92"/>
    <x v="125"/>
    <x v="112"/>
    <n v="57"/>
    <s v="Male"/>
    <s v="Patna"/>
    <s v="Rice"/>
    <s v="Grocery"/>
    <n v="6"/>
    <n v="41494.43"/>
    <n v="248966.58"/>
  </r>
  <r>
    <x v="125"/>
    <x v="30"/>
    <x v="126"/>
    <x v="113"/>
    <n v="55"/>
    <s v="Male"/>
    <s v="Gaya"/>
    <s v="Rice"/>
    <s v="Grocery"/>
    <n v="10"/>
    <n v="25930.1"/>
    <n v="259301"/>
  </r>
  <r>
    <x v="126"/>
    <x v="105"/>
    <x v="127"/>
    <x v="114"/>
    <n v="44"/>
    <s v="Male"/>
    <s v="Gaya"/>
    <s v="Laptop"/>
    <s v="Electronics"/>
    <n v="8"/>
    <n v="26281.83"/>
    <n v="210254.64"/>
  </r>
  <r>
    <x v="127"/>
    <x v="106"/>
    <x v="128"/>
    <x v="115"/>
    <n v="33"/>
    <s v="Male"/>
    <s v="Patna"/>
    <s v="Mobile"/>
    <s v="Electronics"/>
    <n v="8"/>
    <n v="21833.32"/>
    <n v="174666.56"/>
  </r>
  <r>
    <x v="128"/>
    <x v="107"/>
    <x v="129"/>
    <x v="116"/>
    <n v="20"/>
    <s v="Male"/>
    <s v="Patna"/>
    <s v="Rice"/>
    <s v="Grocery"/>
    <n v="6"/>
    <n v="40577.1"/>
    <n v="243462.6"/>
  </r>
  <r>
    <x v="129"/>
    <x v="98"/>
    <x v="130"/>
    <x v="7"/>
    <n v="37"/>
    <s v="Female"/>
    <s v="Gaya"/>
    <s v="Shoes"/>
    <s v="Fashion"/>
    <n v="5"/>
    <n v="39039.96"/>
    <n v="195199.8"/>
  </r>
  <r>
    <x v="130"/>
    <x v="108"/>
    <x v="131"/>
    <x v="100"/>
    <n v="65"/>
    <s v="Female"/>
    <s v="Bengaluru"/>
    <s v="Book"/>
    <s v="Education"/>
    <n v="10"/>
    <n v="29902.97"/>
    <n v="299029.7"/>
  </r>
  <r>
    <x v="131"/>
    <x v="109"/>
    <x v="132"/>
    <x v="86"/>
    <n v="34"/>
    <s v="Female"/>
    <s v="Patna"/>
    <s v="Mobile"/>
    <s v="Electronics"/>
    <n v="7"/>
    <n v="18967.46"/>
    <n v="132772.22"/>
  </r>
  <r>
    <x v="132"/>
    <x v="110"/>
    <x v="133"/>
    <x v="117"/>
    <n v="45"/>
    <s v="Female"/>
    <s v="Delhi"/>
    <s v="Mobile"/>
    <s v="Electronics"/>
    <n v="10"/>
    <n v="42943.17"/>
    <n v="429431.7"/>
  </r>
  <r>
    <x v="133"/>
    <x v="111"/>
    <x v="134"/>
    <x v="101"/>
    <n v="46"/>
    <s v="Male"/>
    <s v="Mumbai"/>
    <s v="Laptop"/>
    <s v="Electronics"/>
    <n v="6"/>
    <n v="24216.91"/>
    <n v="145301.46"/>
  </r>
  <r>
    <x v="134"/>
    <x v="112"/>
    <x v="135"/>
    <x v="118"/>
    <n v="28"/>
    <s v="Female"/>
    <s v="Mumbai"/>
    <s v="Chair"/>
    <s v="Furniture"/>
    <n v="9"/>
    <n v="7093.9"/>
    <n v="63845.1"/>
  </r>
  <r>
    <x v="135"/>
    <x v="113"/>
    <x v="136"/>
    <x v="119"/>
    <n v="22"/>
    <s v="Female"/>
    <s v="Pune"/>
    <s v="Chair"/>
    <s v="Furniture"/>
    <n v="5"/>
    <n v="29748.17"/>
    <n v="148740.85"/>
  </r>
  <r>
    <x v="136"/>
    <x v="94"/>
    <x v="137"/>
    <x v="60"/>
    <n v="52"/>
    <s v="Male"/>
    <s v="Bengaluru"/>
    <s v="Laptop"/>
    <s v="Electronics"/>
    <n v="8"/>
    <n v="22563.72"/>
    <n v="180509.76"/>
  </r>
  <r>
    <x v="137"/>
    <x v="114"/>
    <x v="138"/>
    <x v="102"/>
    <n v="18"/>
    <s v="Male"/>
    <s v="Hyderabad"/>
    <s v="Mobile"/>
    <s v="Electronics"/>
    <n v="7"/>
    <n v="17321.68"/>
    <n v="121251.76"/>
  </r>
  <r>
    <x v="138"/>
    <x v="115"/>
    <x v="139"/>
    <x v="120"/>
    <n v="24"/>
    <s v="Male"/>
    <s v="Gaya"/>
    <s v="Laptop"/>
    <s v="Electronics"/>
    <n v="9"/>
    <n v="25138.42"/>
    <n v="226245.78"/>
  </r>
  <r>
    <x v="139"/>
    <x v="116"/>
    <x v="140"/>
    <x v="121"/>
    <n v="54"/>
    <s v="Male"/>
    <s v="Kolkata"/>
    <s v="Book"/>
    <s v="Education"/>
    <n v="6"/>
    <n v="33887.35"/>
    <n v="203324.1"/>
  </r>
  <r>
    <x v="140"/>
    <x v="73"/>
    <x v="141"/>
    <x v="122"/>
    <n v="33"/>
    <s v="Female"/>
    <s v="Gaya"/>
    <s v="Shoes"/>
    <s v="Fashion"/>
    <n v="6"/>
    <n v="30177.21"/>
    <n v="181063.26"/>
  </r>
  <r>
    <x v="141"/>
    <x v="117"/>
    <x v="142"/>
    <x v="123"/>
    <n v="32"/>
    <s v="Female"/>
    <s v="Kolkata"/>
    <s v="Mobile"/>
    <s v="Electronics"/>
    <n v="3"/>
    <n v="28572.400000000001"/>
    <n v="85717.2"/>
  </r>
  <r>
    <x v="142"/>
    <x v="118"/>
    <x v="143"/>
    <x v="124"/>
    <n v="28"/>
    <s v="Male"/>
    <s v="Gaya"/>
    <s v="Mobile"/>
    <s v="Electronics"/>
    <n v="4"/>
    <n v="6898.4"/>
    <n v="27593.599999999999"/>
  </r>
  <r>
    <x v="143"/>
    <x v="13"/>
    <x v="144"/>
    <x v="125"/>
    <n v="59"/>
    <s v="Female"/>
    <s v="Gaya"/>
    <s v="Shoes"/>
    <s v="Fashion"/>
    <n v="1"/>
    <n v="20740.93"/>
    <n v="20740.93"/>
  </r>
  <r>
    <x v="144"/>
    <x v="49"/>
    <x v="145"/>
    <x v="126"/>
    <n v="18"/>
    <s v="Male"/>
    <s v="Bengaluru"/>
    <s v="Laptop"/>
    <s v="Electronics"/>
    <n v="3"/>
    <n v="37576.35"/>
    <n v="112729.05"/>
  </r>
  <r>
    <x v="145"/>
    <x v="50"/>
    <x v="146"/>
    <x v="127"/>
    <n v="51"/>
    <s v="Female"/>
    <s v="Delhi"/>
    <s v="Mobile"/>
    <s v="Electronics"/>
    <n v="6"/>
    <n v="20416.04"/>
    <n v="122496.24"/>
  </r>
  <r>
    <x v="146"/>
    <x v="119"/>
    <x v="147"/>
    <x v="76"/>
    <n v="64"/>
    <s v="Male"/>
    <s v="Bengaluru"/>
    <s v="Chair"/>
    <s v="Furniture"/>
    <n v="2"/>
    <n v="8092.78"/>
    <n v="16185.56"/>
  </r>
  <r>
    <x v="147"/>
    <x v="120"/>
    <x v="148"/>
    <x v="128"/>
    <m/>
    <s v="Female"/>
    <m/>
    <s v="Chair"/>
    <s v="Furniture"/>
    <n v="4"/>
    <n v="1973.64"/>
    <n v="7894.56"/>
  </r>
  <r>
    <x v="148"/>
    <x v="121"/>
    <x v="149"/>
    <x v="129"/>
    <n v="19"/>
    <s v="Female"/>
    <s v="Mumbai"/>
    <s v="Shoes"/>
    <s v="Fashion"/>
    <n v="8"/>
    <n v="41749.550000000003"/>
    <n v="333996.40000000002"/>
  </r>
  <r>
    <x v="149"/>
    <x v="122"/>
    <x v="150"/>
    <x v="130"/>
    <n v="53"/>
    <s v="Male"/>
    <s v="Gaya"/>
    <s v="Laptop"/>
    <s v="Electronics"/>
    <n v="9"/>
    <n v="48833.27"/>
    <n v="439499.43"/>
  </r>
  <r>
    <x v="150"/>
    <x v="123"/>
    <x v="151"/>
    <x v="131"/>
    <n v="30"/>
    <s v="Female"/>
    <s v="Mumbai"/>
    <s v="Mobile"/>
    <s v="Electronics"/>
    <n v="7"/>
    <n v="48642.53"/>
    <n v="340497.71"/>
  </r>
  <r>
    <x v="151"/>
    <x v="93"/>
    <x v="152"/>
    <x v="132"/>
    <n v="56"/>
    <s v="Female"/>
    <s v="Mumbai"/>
    <s v="Laptop"/>
    <s v="Electronics"/>
    <n v="4"/>
    <n v="42299.16"/>
    <n v="169196.64"/>
  </r>
  <r>
    <x v="152"/>
    <x v="19"/>
    <x v="153"/>
    <x v="133"/>
    <n v="53"/>
    <s v="Female"/>
    <s v="Patna"/>
    <s v="Book"/>
    <s v="Education"/>
    <n v="5"/>
    <n v="38233.51"/>
    <n v="191167.55"/>
  </r>
  <r>
    <x v="153"/>
    <x v="124"/>
    <x v="154"/>
    <x v="23"/>
    <n v="64"/>
    <s v="Male"/>
    <s v="Pune"/>
    <s v="Mobile"/>
    <s v="Electronics"/>
    <n v="4"/>
    <n v="6502.53"/>
    <n v="26010.12"/>
  </r>
  <r>
    <x v="154"/>
    <x v="125"/>
    <x v="155"/>
    <x v="73"/>
    <n v="60"/>
    <s v="Male"/>
    <s v="Bengaluru"/>
    <s v="Book"/>
    <s v="Education"/>
    <n v="2"/>
    <n v="18293.96"/>
    <n v="36587.919999999998"/>
  </r>
  <r>
    <x v="155"/>
    <x v="126"/>
    <x v="156"/>
    <x v="134"/>
    <n v="36"/>
    <s v="Male"/>
    <s v="Gaya"/>
    <s v="Mobile"/>
    <s v="Electronics"/>
    <n v="2"/>
    <n v="40810.01"/>
    <n v="81620.02"/>
  </r>
  <r>
    <x v="156"/>
    <x v="127"/>
    <x v="157"/>
    <x v="123"/>
    <n v="30"/>
    <s v="Female"/>
    <s v="Kolkata"/>
    <s v="Mobile"/>
    <s v="Electronics"/>
    <n v="7"/>
    <n v="28469"/>
    <n v="199283"/>
  </r>
  <r>
    <x v="157"/>
    <x v="128"/>
    <x v="158"/>
    <x v="135"/>
    <n v="55"/>
    <s v="Male"/>
    <s v="Hyderabad"/>
    <s v="Chair"/>
    <s v="Furniture"/>
    <n v="10"/>
    <n v="1085.1300000000001"/>
    <n v="10851.3"/>
  </r>
  <r>
    <x v="158"/>
    <x v="29"/>
    <x v="159"/>
    <x v="136"/>
    <n v="65"/>
    <s v="Male"/>
    <s v="Bengaluru"/>
    <s v="Rice"/>
    <s v="Grocery"/>
    <n v="3"/>
    <n v="145.78"/>
    <n v="437.34"/>
  </r>
  <r>
    <x v="159"/>
    <x v="129"/>
    <x v="160"/>
    <x v="137"/>
    <n v="27"/>
    <s v="Female"/>
    <s v="Kolkata"/>
    <s v="Mobile"/>
    <s v="Electronics"/>
    <n v="9"/>
    <n v="22636.01"/>
    <n v="203724.09"/>
  </r>
  <r>
    <x v="160"/>
    <x v="130"/>
    <x v="161"/>
    <x v="138"/>
    <n v="57"/>
    <s v="Male"/>
    <s v="Mumbai"/>
    <s v="Book"/>
    <s v="Education"/>
    <n v="6"/>
    <n v="39830.65"/>
    <n v="238983.9"/>
  </r>
  <r>
    <x v="161"/>
    <x v="131"/>
    <x v="162"/>
    <x v="139"/>
    <n v="61"/>
    <s v="Male"/>
    <s v="Bengaluru"/>
    <s v="Mobile"/>
    <s v="Electronics"/>
    <n v="10"/>
    <n v="41054.720000000001"/>
    <n v="410547.20000000001"/>
  </r>
  <r>
    <x v="162"/>
    <x v="71"/>
    <x v="163"/>
    <x v="140"/>
    <n v="41"/>
    <s v="Female"/>
    <s v="Hyderabad"/>
    <s v="Rice"/>
    <s v="Grocery"/>
    <n v="4"/>
    <n v="35300.11"/>
    <n v="141200.44"/>
  </r>
  <r>
    <x v="163"/>
    <x v="35"/>
    <x v="164"/>
    <x v="141"/>
    <n v="54"/>
    <s v="Female"/>
    <s v="Hyderabad"/>
    <s v="Book"/>
    <s v="Education"/>
    <n v="5"/>
    <n v="25053.25"/>
    <n v="125266.25"/>
  </r>
  <r>
    <x v="164"/>
    <x v="96"/>
    <x v="165"/>
    <x v="142"/>
    <n v="37"/>
    <s v="Female"/>
    <s v="Patna"/>
    <s v="Rice"/>
    <s v="Grocery"/>
    <n v="7"/>
    <n v="23674.97"/>
    <n v="165724.79"/>
  </r>
  <r>
    <x v="165"/>
    <x v="132"/>
    <x v="166"/>
    <x v="143"/>
    <n v="32"/>
    <s v="Male"/>
    <s v="Patna"/>
    <s v="Chair"/>
    <s v="Furniture"/>
    <n v="8"/>
    <n v="37436.26"/>
    <n v="299490.08"/>
  </r>
  <r>
    <x v="166"/>
    <x v="133"/>
    <x v="167"/>
    <x v="86"/>
    <n v="35"/>
    <s v="Female"/>
    <s v="Bengaluru"/>
    <s v="Chair"/>
    <s v="Furniture"/>
    <n v="10"/>
    <n v="31730.57"/>
    <n v="317305.7"/>
  </r>
  <r>
    <x v="167"/>
    <x v="114"/>
    <x v="168"/>
    <x v="144"/>
    <n v="49"/>
    <s v="Male"/>
    <s v="Bengaluru"/>
    <s v="Laptop"/>
    <s v="Electronics"/>
    <n v="4"/>
    <n v="30139.27"/>
    <n v="120557.08"/>
  </r>
  <r>
    <x v="168"/>
    <x v="134"/>
    <x v="169"/>
    <x v="17"/>
    <n v="24"/>
    <s v="Male"/>
    <s v="Bengaluru"/>
    <s v="Chair"/>
    <s v="Furniture"/>
    <n v="3"/>
    <n v="10289.67"/>
    <n v="30869.01"/>
  </r>
  <r>
    <x v="169"/>
    <x v="135"/>
    <x v="170"/>
    <x v="145"/>
    <n v="56"/>
    <s v="Female"/>
    <s v="Mumbai"/>
    <s v="Chair"/>
    <s v="Furniture"/>
    <n v="1"/>
    <n v="8906.18"/>
    <n v="8906.18"/>
  </r>
  <r>
    <x v="170"/>
    <x v="136"/>
    <x v="171"/>
    <x v="146"/>
    <n v="18"/>
    <s v="Male"/>
    <s v="Hyderabad"/>
    <s v="Rice"/>
    <s v="Grocery"/>
    <n v="2"/>
    <n v="21856.639999999999"/>
    <n v="43713.279999999999"/>
  </r>
  <r>
    <x v="171"/>
    <x v="137"/>
    <x v="172"/>
    <x v="147"/>
    <n v="35"/>
    <s v="Male"/>
    <s v="Gaya"/>
    <s v="Rice"/>
    <s v="Grocery"/>
    <n v="9"/>
    <n v="26781.39"/>
    <n v="241032.51"/>
  </r>
  <r>
    <x v="172"/>
    <x v="138"/>
    <x v="173"/>
    <x v="148"/>
    <n v="41"/>
    <s v="Male"/>
    <s v="Patna"/>
    <s v="Rice"/>
    <s v="Grocery"/>
    <n v="9"/>
    <n v="49390.42"/>
    <n v="444513.78"/>
  </r>
  <r>
    <x v="173"/>
    <x v="139"/>
    <x v="174"/>
    <x v="149"/>
    <n v="21"/>
    <s v="Male"/>
    <s v="Mumbai"/>
    <s v="Laptop"/>
    <s v="Electronics"/>
    <n v="9"/>
    <n v="21792.76"/>
    <n v="196134.84"/>
  </r>
  <r>
    <x v="174"/>
    <x v="140"/>
    <x v="175"/>
    <x v="142"/>
    <n v="54"/>
    <s v="Male"/>
    <s v="Pune"/>
    <s v="Mobile"/>
    <s v="Electronics"/>
    <n v="4"/>
    <n v="16850.46"/>
    <n v="67401.84"/>
  </r>
  <r>
    <x v="175"/>
    <x v="141"/>
    <x v="176"/>
    <x v="150"/>
    <n v="20"/>
    <s v="Female"/>
    <s v="Pune"/>
    <s v="Mobile"/>
    <s v="Electronics"/>
    <n v="2"/>
    <n v="14098.13"/>
    <n v="28196.26"/>
  </r>
  <r>
    <x v="176"/>
    <x v="142"/>
    <x v="177"/>
    <x v="151"/>
    <n v="44"/>
    <s v="Male"/>
    <s v="Gaya"/>
    <s v="Mobile"/>
    <s v="Electronics"/>
    <n v="3"/>
    <n v="34033.11"/>
    <n v="102099.33"/>
  </r>
  <r>
    <x v="177"/>
    <x v="73"/>
    <x v="178"/>
    <x v="138"/>
    <n v="27"/>
    <s v="Male"/>
    <s v="Kolkata"/>
    <s v="Laptop"/>
    <s v="Electronics"/>
    <n v="5"/>
    <n v="1423.81"/>
    <n v="7119.05"/>
  </r>
  <r>
    <x v="178"/>
    <x v="143"/>
    <x v="179"/>
    <x v="152"/>
    <n v="55"/>
    <s v="Male"/>
    <s v="Delhi"/>
    <s v="Rice"/>
    <s v="Grocery"/>
    <n v="8"/>
    <n v="29735.57"/>
    <n v="237884.56"/>
  </r>
  <r>
    <x v="179"/>
    <x v="136"/>
    <x v="180"/>
    <x v="153"/>
    <n v="35"/>
    <s v="Male"/>
    <s v="Gaya"/>
    <s v="Chair"/>
    <s v="Furniture"/>
    <n v="7"/>
    <n v="1481"/>
    <n v="10367"/>
  </r>
  <r>
    <x v="180"/>
    <x v="144"/>
    <x v="17"/>
    <x v="154"/>
    <n v="60"/>
    <s v="Female"/>
    <s v="Pune"/>
    <s v="Laptop"/>
    <s v="Electronics"/>
    <n v="8"/>
    <n v="23129.360000000001"/>
    <n v="185034.88"/>
  </r>
  <r>
    <x v="181"/>
    <x v="76"/>
    <x v="181"/>
    <x v="155"/>
    <n v="43"/>
    <s v="Male"/>
    <s v="Kolkata"/>
    <s v="Chair"/>
    <s v="Furniture"/>
    <n v="2"/>
    <n v="44336.38"/>
    <n v="88672.76"/>
  </r>
  <r>
    <x v="182"/>
    <x v="54"/>
    <x v="182"/>
    <x v="67"/>
    <n v="34"/>
    <s v="Female"/>
    <s v="Hyderabad"/>
    <s v="Laptop"/>
    <s v="Electronics"/>
    <n v="5"/>
    <n v="2983.97"/>
    <n v="14919.85"/>
  </r>
  <r>
    <x v="183"/>
    <x v="32"/>
    <x v="183"/>
    <x v="156"/>
    <n v="44"/>
    <s v="Male"/>
    <s v="Gaya"/>
    <s v="Chair"/>
    <s v="Furniture"/>
    <n v="3"/>
    <n v="8820.5499999999993"/>
    <n v="26461.65"/>
  </r>
  <r>
    <x v="184"/>
    <x v="2"/>
    <x v="184"/>
    <x v="157"/>
    <n v="60"/>
    <s v="Female"/>
    <s v="Gaya"/>
    <s v="Laptop"/>
    <s v="Electronics"/>
    <n v="1"/>
    <n v="21001.73"/>
    <n v="21001.73"/>
  </r>
  <r>
    <x v="185"/>
    <x v="145"/>
    <x v="185"/>
    <x v="158"/>
    <n v="33"/>
    <s v="Male"/>
    <s v="Delhi"/>
    <s v="Laptop"/>
    <s v="Electronics"/>
    <n v="9"/>
    <n v="16767.5"/>
    <n v="150907.5"/>
  </r>
  <r>
    <x v="186"/>
    <x v="123"/>
    <x v="186"/>
    <x v="92"/>
    <n v="27"/>
    <s v="Male"/>
    <s v="Bengaluru"/>
    <s v="Rice"/>
    <s v="Grocery"/>
    <n v="3"/>
    <n v="47959.38"/>
    <n v="143878.14000000001"/>
  </r>
  <r>
    <x v="187"/>
    <x v="146"/>
    <x v="187"/>
    <x v="159"/>
    <n v="43"/>
    <s v="Female"/>
    <s v="Delhi"/>
    <s v="Chair"/>
    <s v="Furniture"/>
    <n v="5"/>
    <n v="7642.84"/>
    <n v="38214.199999999997"/>
  </r>
  <r>
    <x v="188"/>
    <x v="113"/>
    <x v="188"/>
    <x v="36"/>
    <n v="60"/>
    <s v="Female"/>
    <s v="Delhi"/>
    <s v="Laptop"/>
    <s v="Electronics"/>
    <n v="10"/>
    <n v="1959.05"/>
    <n v="19590.5"/>
  </r>
  <r>
    <x v="189"/>
    <x v="147"/>
    <x v="189"/>
    <x v="160"/>
    <n v="55"/>
    <s v="Female"/>
    <s v="Kolkata"/>
    <s v="Mobile"/>
    <s v="Electronics"/>
    <n v="4"/>
    <n v="26460.39"/>
    <n v="105841.56"/>
  </r>
  <r>
    <x v="190"/>
    <x v="148"/>
    <x v="190"/>
    <x v="142"/>
    <n v="25"/>
    <s v="Male"/>
    <s v="Hyderabad"/>
    <s v="Laptop"/>
    <s v="Electronics"/>
    <n v="6"/>
    <n v="9132.85"/>
    <n v="54797.1"/>
  </r>
  <r>
    <x v="191"/>
    <x v="104"/>
    <x v="191"/>
    <x v="161"/>
    <n v="24"/>
    <s v="Male"/>
    <s v="Pune"/>
    <s v="Book"/>
    <s v="Education"/>
    <n v="8"/>
    <n v="34260.449999999997"/>
    <n v="274083.59999999998"/>
  </r>
  <r>
    <x v="192"/>
    <x v="133"/>
    <x v="192"/>
    <x v="162"/>
    <n v="41"/>
    <s v="Female"/>
    <s v="Pune"/>
    <s v="Book"/>
    <s v="Education"/>
    <n v="4"/>
    <n v="22321.8"/>
    <n v="89287.2"/>
  </r>
  <r>
    <x v="193"/>
    <x v="149"/>
    <x v="193"/>
    <x v="163"/>
    <n v="61"/>
    <s v="Male"/>
    <s v="Mumbai"/>
    <s v="Book"/>
    <s v="Education"/>
    <n v="8"/>
    <n v="27492.16"/>
    <n v="219937.28"/>
  </r>
  <r>
    <x v="194"/>
    <x v="93"/>
    <x v="194"/>
    <x v="164"/>
    <n v="23"/>
    <s v="Female"/>
    <s v="Delhi"/>
    <s v="Chair"/>
    <s v="Furniture"/>
    <n v="1"/>
    <n v="35489.21"/>
    <n v="35489.21"/>
  </r>
  <r>
    <x v="195"/>
    <x v="122"/>
    <x v="195"/>
    <x v="165"/>
    <n v="36"/>
    <s v="Male"/>
    <s v="Patna"/>
    <s v="Laptop"/>
    <s v="Electronics"/>
    <n v="8"/>
    <n v="31510.55"/>
    <n v="252084.4"/>
  </r>
  <r>
    <x v="196"/>
    <x v="150"/>
    <x v="196"/>
    <x v="166"/>
    <n v="38"/>
    <s v="Male"/>
    <s v="Patna"/>
    <s v="Mobile"/>
    <s v="Electronics"/>
    <n v="1"/>
    <n v="16633.849999999999"/>
    <n v="16633.849999999999"/>
  </r>
  <r>
    <x v="197"/>
    <x v="151"/>
    <x v="197"/>
    <x v="167"/>
    <m/>
    <s v="Female"/>
    <s v="Kolkata"/>
    <s v="Rice"/>
    <s v="Grocery"/>
    <n v="8"/>
    <n v="27608.55"/>
    <n v="220868.4"/>
  </r>
  <r>
    <x v="198"/>
    <x v="152"/>
    <x v="198"/>
    <x v="168"/>
    <n v="44"/>
    <s v="Female"/>
    <s v="Patna"/>
    <s v="Rice"/>
    <s v="Grocery"/>
    <n v="7"/>
    <n v="25521.26"/>
    <n v="178648.82"/>
  </r>
  <r>
    <x v="199"/>
    <x v="147"/>
    <x v="199"/>
    <x v="169"/>
    <n v="59"/>
    <s v="Female"/>
    <s v="Patna"/>
    <s v="Mobile"/>
    <s v="Electronics"/>
    <n v="4"/>
    <n v="35658.89"/>
    <n v="142635.56"/>
  </r>
  <r>
    <x v="200"/>
    <x v="110"/>
    <x v="200"/>
    <x v="170"/>
    <n v="61"/>
    <s v="Female"/>
    <s v="Hyderabad"/>
    <s v="Laptop"/>
    <s v="Electronics"/>
    <n v="8"/>
    <n v="18088.02"/>
    <n v="144704.16"/>
  </r>
  <r>
    <x v="201"/>
    <x v="153"/>
    <x v="201"/>
    <x v="171"/>
    <n v="52"/>
    <s v="Female"/>
    <s v="Mumbai"/>
    <s v="Book"/>
    <s v="Education"/>
    <n v="3"/>
    <n v="16041.29"/>
    <n v="48123.87"/>
  </r>
  <r>
    <x v="202"/>
    <x v="147"/>
    <x v="202"/>
    <x v="172"/>
    <n v="59"/>
    <s v="Female"/>
    <s v="Kolkata"/>
    <s v="Chair"/>
    <s v="Furniture"/>
    <n v="9"/>
    <n v="16533.740000000002"/>
    <n v="148803.66"/>
  </r>
  <r>
    <x v="203"/>
    <x v="106"/>
    <x v="203"/>
    <x v="173"/>
    <n v="55"/>
    <s v="Female"/>
    <s v="Hyderabad"/>
    <s v="Book"/>
    <s v="Education"/>
    <n v="1"/>
    <n v="16714.64"/>
    <n v="16714.64"/>
  </r>
  <r>
    <x v="204"/>
    <x v="14"/>
    <x v="204"/>
    <x v="174"/>
    <n v="45"/>
    <s v="Male"/>
    <s v="Gaya"/>
    <s v="Rice"/>
    <s v="Grocery"/>
    <n v="4"/>
    <n v="46356.08"/>
    <n v="185424.32"/>
  </r>
  <r>
    <x v="205"/>
    <x v="0"/>
    <x v="205"/>
    <x v="175"/>
    <n v="31"/>
    <s v="Male"/>
    <s v="Kolkata"/>
    <s v="Shoes"/>
    <s v="Fashion"/>
    <n v="8"/>
    <n v="2636.28"/>
    <n v="21090.240000000002"/>
  </r>
  <r>
    <x v="206"/>
    <x v="154"/>
    <x v="206"/>
    <x v="176"/>
    <n v="40"/>
    <s v="Female"/>
    <s v="Kolkata"/>
    <s v="Mobile"/>
    <s v="Electronics"/>
    <n v="6"/>
    <n v="34808.76"/>
    <n v="208852.56"/>
  </r>
  <r>
    <x v="207"/>
    <x v="65"/>
    <x v="207"/>
    <x v="177"/>
    <n v="44"/>
    <s v="Female"/>
    <s v="Hyderabad"/>
    <s v="Shoes"/>
    <s v="Fashion"/>
    <n v="10"/>
    <n v="17713.87"/>
    <n v="177138.7"/>
  </r>
  <r>
    <x v="208"/>
    <x v="8"/>
    <x v="208"/>
    <x v="93"/>
    <n v="55"/>
    <s v="Female"/>
    <s v="Bengaluru"/>
    <s v="Book"/>
    <s v="Education"/>
    <n v="3"/>
    <n v="4421.33"/>
    <n v="13263.99"/>
  </r>
  <r>
    <x v="209"/>
    <x v="24"/>
    <x v="209"/>
    <x v="178"/>
    <n v="20"/>
    <s v="Male"/>
    <s v="Patna"/>
    <s v="Chair"/>
    <s v="Furniture"/>
    <n v="1"/>
    <n v="49067.82"/>
    <n v="49067.82"/>
  </r>
  <r>
    <x v="210"/>
    <x v="155"/>
    <x v="210"/>
    <x v="179"/>
    <n v="34"/>
    <s v="Female"/>
    <s v="Mumbai"/>
    <s v="Mobile"/>
    <s v="Electronics"/>
    <n v="6"/>
    <n v="18644.18"/>
    <n v="111865.08"/>
  </r>
  <r>
    <x v="211"/>
    <x v="65"/>
    <x v="211"/>
    <x v="75"/>
    <n v="37"/>
    <s v="Female"/>
    <s v="Delhi"/>
    <s v="Laptop"/>
    <s v="Electronics"/>
    <n v="9"/>
    <n v="14462.81"/>
    <n v="130165.29"/>
  </r>
  <r>
    <x v="212"/>
    <x v="156"/>
    <x v="212"/>
    <x v="55"/>
    <n v="43"/>
    <s v="Female"/>
    <s v="Hyderabad"/>
    <s v="Shoes"/>
    <s v="Fashion"/>
    <n v="1"/>
    <n v="29838.32"/>
    <n v="29838.32"/>
  </r>
  <r>
    <x v="213"/>
    <x v="18"/>
    <x v="213"/>
    <x v="180"/>
    <n v="23"/>
    <s v="Male"/>
    <s v="Delhi"/>
    <s v="Rice"/>
    <s v="Grocery"/>
    <n v="5"/>
    <n v="9508.4"/>
    <n v="47542"/>
  </r>
  <r>
    <x v="214"/>
    <x v="157"/>
    <x v="214"/>
    <x v="181"/>
    <n v="60"/>
    <s v="Female"/>
    <s v="Delhi"/>
    <s v="Mobile"/>
    <s v="Electronics"/>
    <n v="4"/>
    <n v="39054.949999999997"/>
    <n v="156219.79999999999"/>
  </r>
  <r>
    <x v="215"/>
    <x v="158"/>
    <x v="215"/>
    <x v="182"/>
    <n v="39"/>
    <s v="Male"/>
    <s v="Kolkata"/>
    <s v="Mobile"/>
    <s v="Electronics"/>
    <n v="6"/>
    <n v="20308.849999999999"/>
    <n v="121853.1"/>
  </r>
  <r>
    <x v="216"/>
    <x v="159"/>
    <x v="216"/>
    <x v="99"/>
    <n v="25"/>
    <s v="Female"/>
    <s v="Hyderabad"/>
    <s v="Rice"/>
    <s v="Grocery"/>
    <n v="4"/>
    <n v="15549.95"/>
    <n v="62199.8"/>
  </r>
  <r>
    <x v="217"/>
    <x v="22"/>
    <x v="217"/>
    <x v="27"/>
    <n v="23"/>
    <s v="Female"/>
    <s v="Hyderabad"/>
    <s v="Laptop"/>
    <s v="Electronics"/>
    <n v="1"/>
    <n v="34192.300000000003"/>
    <n v="34192.300000000003"/>
  </r>
  <r>
    <x v="218"/>
    <x v="145"/>
    <x v="218"/>
    <x v="160"/>
    <n v="65"/>
    <s v="Female"/>
    <s v="Hyderabad"/>
    <s v="Book"/>
    <s v="Education"/>
    <n v="2"/>
    <n v="12214.1"/>
    <n v="24428.2"/>
  </r>
  <r>
    <x v="219"/>
    <x v="160"/>
    <x v="219"/>
    <x v="183"/>
    <n v="20"/>
    <s v="Female"/>
    <s v="Bengaluru"/>
    <s v="Shoes"/>
    <s v="Fashion"/>
    <n v="10"/>
    <n v="49086.64"/>
    <n v="490866.4"/>
  </r>
  <r>
    <x v="220"/>
    <x v="161"/>
    <x v="220"/>
    <x v="184"/>
    <n v="38"/>
    <s v="Female"/>
    <s v="Bengaluru"/>
    <s v="Mobile"/>
    <s v="Electronics"/>
    <n v="8"/>
    <n v="20404.62"/>
    <n v="163236.96"/>
  </r>
  <r>
    <x v="221"/>
    <x v="118"/>
    <x v="221"/>
    <x v="47"/>
    <n v="22"/>
    <s v="Male"/>
    <s v="Mumbai"/>
    <s v="Laptop"/>
    <s v="Electronics"/>
    <n v="8"/>
    <n v="49347.28"/>
    <n v="394778.24"/>
  </r>
  <r>
    <x v="222"/>
    <x v="52"/>
    <x v="222"/>
    <x v="34"/>
    <n v="37"/>
    <s v="Female"/>
    <m/>
    <s v="Rice"/>
    <s v="Grocery"/>
    <n v="1"/>
    <n v="25336.7"/>
    <n v="25336.7"/>
  </r>
  <r>
    <x v="223"/>
    <x v="122"/>
    <x v="223"/>
    <x v="185"/>
    <n v="54"/>
    <s v="Female"/>
    <s v="Pune"/>
    <s v="Rice"/>
    <s v="Grocery"/>
    <n v="5"/>
    <n v="7361.11"/>
    <n v="36805.550000000003"/>
  </r>
  <r>
    <x v="224"/>
    <x v="162"/>
    <x v="224"/>
    <x v="186"/>
    <n v="22"/>
    <s v="Male"/>
    <s v="Hyderabad"/>
    <s v="Laptop"/>
    <s v="Electronics"/>
    <n v="4"/>
    <n v="33205.94"/>
    <n v="132823.76"/>
  </r>
  <r>
    <x v="225"/>
    <x v="66"/>
    <x v="225"/>
    <x v="187"/>
    <n v="63"/>
    <s v="Female"/>
    <s v="Patna"/>
    <s v="Chair"/>
    <s v="Furniture"/>
    <n v="4"/>
    <n v="21609.52"/>
    <n v="86438.080000000002"/>
  </r>
  <r>
    <x v="226"/>
    <x v="103"/>
    <x v="226"/>
    <x v="188"/>
    <n v="28"/>
    <s v="Male"/>
    <s v="Pune"/>
    <s v="Laptop"/>
    <s v="Electronics"/>
    <n v="10"/>
    <n v="33072.39"/>
    <n v="330723.90000000002"/>
  </r>
  <r>
    <x v="227"/>
    <x v="163"/>
    <x v="227"/>
    <x v="29"/>
    <n v="63"/>
    <s v="Male"/>
    <s v="Patna"/>
    <s v="Mobile"/>
    <s v="Electronics"/>
    <n v="6"/>
    <n v="46679.69"/>
    <n v="280078.14"/>
  </r>
  <r>
    <x v="228"/>
    <x v="59"/>
    <x v="228"/>
    <x v="189"/>
    <n v="45"/>
    <s v="Female"/>
    <s v="Mumbai"/>
    <s v="Book"/>
    <s v="Education"/>
    <n v="3"/>
    <n v="17931.34"/>
    <n v="53794.02"/>
  </r>
  <r>
    <x v="229"/>
    <x v="164"/>
    <x v="229"/>
    <x v="190"/>
    <n v="61"/>
    <s v="Male"/>
    <s v="Gaya"/>
    <s v="Chair"/>
    <s v="Furniture"/>
    <n v="4"/>
    <n v="5518.32"/>
    <n v="22073.279999999999"/>
  </r>
  <r>
    <x v="230"/>
    <x v="141"/>
    <x v="230"/>
    <x v="143"/>
    <n v="61"/>
    <s v="Male"/>
    <s v="Mumbai"/>
    <s v="Book"/>
    <s v="Education"/>
    <n v="7"/>
    <n v="15331.09"/>
    <n v="107317.63"/>
  </r>
  <r>
    <x v="231"/>
    <x v="165"/>
    <x v="231"/>
    <x v="65"/>
    <n v="63"/>
    <s v="Female"/>
    <s v="Bengaluru"/>
    <s v="Shoes"/>
    <s v="Fashion"/>
    <n v="1"/>
    <n v="41626.11"/>
    <n v="41626.11"/>
  </r>
  <r>
    <x v="232"/>
    <x v="29"/>
    <x v="232"/>
    <x v="24"/>
    <n v="41"/>
    <s v="Female"/>
    <s v="Bengaluru"/>
    <s v="Chair"/>
    <s v="Furniture"/>
    <n v="8"/>
    <n v="33479.620000000003"/>
    <n v="267836.96000000002"/>
  </r>
  <r>
    <x v="233"/>
    <x v="101"/>
    <x v="233"/>
    <x v="191"/>
    <n v="62"/>
    <s v="Male"/>
    <s v="Mumbai"/>
    <s v="Laptop"/>
    <s v="Electronics"/>
    <n v="9"/>
    <n v="44135.66"/>
    <n v="397220.94"/>
  </r>
  <r>
    <x v="234"/>
    <x v="166"/>
    <x v="234"/>
    <x v="192"/>
    <n v="32"/>
    <s v="Male"/>
    <s v="Bengaluru"/>
    <s v="Mobile"/>
    <s v="Electronics"/>
    <n v="10"/>
    <n v="4504.8900000000003"/>
    <n v="45048.9"/>
  </r>
  <r>
    <x v="235"/>
    <x v="167"/>
    <x v="235"/>
    <x v="193"/>
    <n v="40"/>
    <s v="Female"/>
    <s v="Kolkata"/>
    <s v="Shoes"/>
    <s v="Fashion"/>
    <n v="7"/>
    <n v="28710.98"/>
    <n v="200976.86"/>
  </r>
  <r>
    <x v="236"/>
    <x v="168"/>
    <x v="236"/>
    <x v="194"/>
    <n v="38"/>
    <s v="Male"/>
    <s v="Hyderabad"/>
    <s v="Book"/>
    <s v="Education"/>
    <n v="6"/>
    <n v="25562.3"/>
    <n v="153373.79999999999"/>
  </r>
  <r>
    <x v="48"/>
    <x v="97"/>
    <x v="237"/>
    <x v="122"/>
    <n v="23"/>
    <s v="Male"/>
    <s v="Bengaluru"/>
    <s v="Book"/>
    <s v="Education"/>
    <n v="3"/>
    <n v="2860.83"/>
    <n v="8582.49"/>
  </r>
  <r>
    <x v="237"/>
    <x v="169"/>
    <x v="238"/>
    <x v="195"/>
    <n v="36"/>
    <s v="Male"/>
    <s v="Pune"/>
    <s v="Book"/>
    <s v="Education"/>
    <n v="4"/>
    <n v="1486.03"/>
    <n v="5944.12"/>
  </r>
  <r>
    <x v="238"/>
    <x v="102"/>
    <x v="239"/>
    <x v="196"/>
    <n v="34"/>
    <s v="Female"/>
    <s v="Hyderabad"/>
    <s v="Laptop"/>
    <s v="Electronics"/>
    <n v="8"/>
    <n v="4159.17"/>
    <n v="33273.360000000001"/>
  </r>
  <r>
    <x v="239"/>
    <x v="170"/>
    <x v="240"/>
    <x v="26"/>
    <n v="21"/>
    <s v="Female"/>
    <s v="Bengaluru"/>
    <s v="Book"/>
    <s v="Education"/>
    <n v="7"/>
    <n v="6218.47"/>
    <n v="43529.29"/>
  </r>
  <r>
    <x v="240"/>
    <x v="100"/>
    <x v="241"/>
    <x v="170"/>
    <n v="21"/>
    <s v="Male"/>
    <s v="Mumbai"/>
    <s v="Mobile"/>
    <s v="Electronics"/>
    <n v="10"/>
    <n v="29646.26"/>
    <n v="296462.59999999998"/>
  </r>
  <r>
    <x v="241"/>
    <x v="171"/>
    <x v="242"/>
    <x v="21"/>
    <n v="25"/>
    <s v="Male"/>
    <s v="Bengaluru"/>
    <s v="Rice"/>
    <s v="Grocery"/>
    <n v="7"/>
    <n v="10674.88"/>
    <n v="74724.160000000003"/>
  </r>
  <r>
    <x v="242"/>
    <x v="38"/>
    <x v="243"/>
    <x v="160"/>
    <n v="51"/>
    <s v="Male"/>
    <s v="Hyderabad"/>
    <s v="Rice"/>
    <s v="Grocery"/>
    <n v="4"/>
    <n v="44577.29"/>
    <n v="178309.16"/>
  </r>
  <r>
    <x v="243"/>
    <x v="119"/>
    <x v="244"/>
    <x v="197"/>
    <n v="54"/>
    <s v="Male"/>
    <s v="Bengaluru"/>
    <s v="Book"/>
    <s v="Education"/>
    <n v="6"/>
    <n v="36587.03"/>
    <n v="219522.18"/>
  </r>
  <r>
    <x v="244"/>
    <x v="172"/>
    <x v="245"/>
    <x v="198"/>
    <n v="40"/>
    <s v="Female"/>
    <s v="Patna"/>
    <s v="Mobile"/>
    <s v="Electronics"/>
    <n v="3"/>
    <n v="25277.79"/>
    <n v="75833.37"/>
  </r>
  <r>
    <x v="245"/>
    <x v="173"/>
    <x v="246"/>
    <x v="199"/>
    <n v="19"/>
    <s v="Female"/>
    <s v="Hyderabad"/>
    <s v="Chair"/>
    <s v="Furniture"/>
    <n v="10"/>
    <n v="30855.5"/>
    <n v="308555"/>
  </r>
  <r>
    <x v="246"/>
    <x v="174"/>
    <x v="247"/>
    <x v="200"/>
    <m/>
    <s v="Female"/>
    <s v="Delhi"/>
    <s v="Mobile"/>
    <s v="Electronics"/>
    <n v="7"/>
    <n v="19829.73"/>
    <n v="138808.10999999999"/>
  </r>
  <r>
    <x v="247"/>
    <x v="175"/>
    <x v="248"/>
    <x v="152"/>
    <n v="42"/>
    <s v="Male"/>
    <s v="Patna"/>
    <s v="Laptop"/>
    <s v="Electronics"/>
    <n v="7"/>
    <n v="46461.17"/>
    <n v="325228.19"/>
  </r>
  <r>
    <x v="248"/>
    <x v="176"/>
    <x v="249"/>
    <x v="75"/>
    <n v="26"/>
    <s v="Male"/>
    <s v="Hyderabad"/>
    <s v="Book"/>
    <s v="Education"/>
    <n v="2"/>
    <n v="32168.36"/>
    <n v="64336.72"/>
  </r>
  <r>
    <x v="249"/>
    <x v="8"/>
    <x v="250"/>
    <x v="188"/>
    <n v="50"/>
    <s v="Male"/>
    <s v="Kolkata"/>
    <s v="Book"/>
    <s v="Education"/>
    <n v="2"/>
    <n v="1655.36"/>
    <n v="3310.72"/>
  </r>
  <r>
    <x v="250"/>
    <x v="177"/>
    <x v="251"/>
    <x v="125"/>
    <n v="41"/>
    <s v="Female"/>
    <s v="Kolkata"/>
    <s v="Book"/>
    <s v="Education"/>
    <n v="4"/>
    <n v="44463.18"/>
    <n v="177852.72"/>
  </r>
  <r>
    <x v="251"/>
    <x v="10"/>
    <x v="252"/>
    <x v="189"/>
    <n v="47"/>
    <s v="Female"/>
    <s v="Patna"/>
    <s v="Chair"/>
    <s v="Furniture"/>
    <n v="6"/>
    <n v="43576.14"/>
    <n v="261456.84"/>
  </r>
  <r>
    <x v="252"/>
    <x v="31"/>
    <x v="253"/>
    <x v="201"/>
    <n v="41"/>
    <s v="Female"/>
    <s v="Pune"/>
    <s v="Chair"/>
    <s v="Furniture"/>
    <n v="1"/>
    <n v="43789.89"/>
    <n v="43789.89"/>
  </r>
  <r>
    <x v="253"/>
    <x v="81"/>
    <x v="254"/>
    <x v="202"/>
    <n v="64"/>
    <s v="Male"/>
    <s v="Bengaluru"/>
    <s v="Mobile"/>
    <s v="Electronics"/>
    <n v="1"/>
    <n v="34757.71"/>
    <n v="34757.71"/>
  </r>
  <r>
    <x v="254"/>
    <x v="178"/>
    <x v="255"/>
    <x v="64"/>
    <n v="41"/>
    <s v="Male"/>
    <s v="Pune"/>
    <s v="Chair"/>
    <s v="Furniture"/>
    <n v="7"/>
    <n v="6196.22"/>
    <n v="43373.54"/>
  </r>
  <r>
    <x v="255"/>
    <x v="179"/>
    <x v="256"/>
    <x v="203"/>
    <n v="27"/>
    <s v="Male"/>
    <s v="Pune"/>
    <s v="Rice"/>
    <s v="Grocery"/>
    <n v="8"/>
    <n v="36364.839999999997"/>
    <n v="290918.71999999997"/>
  </r>
  <r>
    <x v="256"/>
    <x v="134"/>
    <x v="257"/>
    <x v="97"/>
    <n v="32"/>
    <s v="Male"/>
    <s v="Hyderabad"/>
    <s v="Chair"/>
    <s v="Furniture"/>
    <n v="3"/>
    <n v="15948.34"/>
    <n v="47845.02"/>
  </r>
  <r>
    <x v="257"/>
    <x v="180"/>
    <x v="258"/>
    <x v="80"/>
    <n v="23"/>
    <s v="Male"/>
    <s v="Gaya"/>
    <s v="Chair"/>
    <s v="Furniture"/>
    <n v="5"/>
    <n v="17292.400000000001"/>
    <n v="86462"/>
  </r>
  <r>
    <x v="258"/>
    <x v="181"/>
    <x v="259"/>
    <x v="197"/>
    <n v="56"/>
    <s v="Female"/>
    <s v="Patna"/>
    <s v="Chair"/>
    <s v="Furniture"/>
    <n v="6"/>
    <n v="29255.02"/>
    <n v="175530.12"/>
  </r>
  <r>
    <x v="259"/>
    <x v="182"/>
    <x v="260"/>
    <x v="204"/>
    <n v="21"/>
    <s v="Male"/>
    <s v="Hyderabad"/>
    <s v="Rice"/>
    <s v="Grocery"/>
    <n v="4"/>
    <n v="25906.46"/>
    <n v="103625.84"/>
  </r>
  <r>
    <x v="260"/>
    <x v="183"/>
    <x v="261"/>
    <x v="185"/>
    <n v="33"/>
    <s v="Male"/>
    <s v="Bengaluru"/>
    <s v="Chair"/>
    <s v="Furniture"/>
    <n v="9"/>
    <n v="6110.1"/>
    <n v="54990.9"/>
  </r>
  <r>
    <x v="261"/>
    <x v="170"/>
    <x v="262"/>
    <x v="205"/>
    <n v="35"/>
    <s v="Male"/>
    <s v="Hyderabad"/>
    <s v="Chair"/>
    <s v="Furniture"/>
    <n v="10"/>
    <n v="36331.75"/>
    <n v="363317.5"/>
  </r>
  <r>
    <x v="262"/>
    <x v="184"/>
    <x v="263"/>
    <x v="206"/>
    <n v="40"/>
    <s v="Female"/>
    <s v="Gaya"/>
    <s v="Rice"/>
    <s v="Grocery"/>
    <n v="8"/>
    <n v="6459.95"/>
    <n v="51679.6"/>
  </r>
  <r>
    <x v="263"/>
    <x v="11"/>
    <x v="264"/>
    <x v="207"/>
    <n v="21"/>
    <s v="Female"/>
    <s v="Bengaluru"/>
    <s v="Book"/>
    <s v="Education"/>
    <n v="4"/>
    <n v="25164.5"/>
    <n v="100658"/>
  </r>
  <r>
    <x v="264"/>
    <x v="114"/>
    <x v="265"/>
    <x v="208"/>
    <n v="25"/>
    <s v="Male"/>
    <s v="Bengaluru"/>
    <s v="Laptop"/>
    <s v="Electronics"/>
    <n v="5"/>
    <n v="49665.71"/>
    <n v="248328.55"/>
  </r>
  <r>
    <x v="265"/>
    <x v="25"/>
    <x v="266"/>
    <x v="209"/>
    <n v="31"/>
    <s v="Female"/>
    <s v="Pune"/>
    <s v="Book"/>
    <s v="Education"/>
    <n v="7"/>
    <n v="13789.53"/>
    <n v="96526.71"/>
  </r>
  <r>
    <x v="266"/>
    <x v="45"/>
    <x v="267"/>
    <x v="210"/>
    <n v="54"/>
    <s v="Male"/>
    <s v="Kolkata"/>
    <s v="Laptop"/>
    <s v="Electronics"/>
    <n v="5"/>
    <n v="16404.25"/>
    <n v="82021.25"/>
  </r>
  <r>
    <x v="267"/>
    <x v="185"/>
    <x v="268"/>
    <x v="208"/>
    <n v="48"/>
    <s v="Male"/>
    <s v="Pune"/>
    <s v="Book"/>
    <s v="Education"/>
    <n v="3"/>
    <n v="32373.88"/>
    <n v="97121.64"/>
  </r>
  <r>
    <x v="268"/>
    <x v="186"/>
    <x v="269"/>
    <x v="63"/>
    <n v="22"/>
    <s v="Male"/>
    <s v="Pune"/>
    <s v="Mobile"/>
    <s v="Electronics"/>
    <n v="7"/>
    <n v="21466.959999999999"/>
    <n v="150268.72"/>
  </r>
  <r>
    <x v="269"/>
    <x v="161"/>
    <x v="270"/>
    <x v="86"/>
    <n v="62"/>
    <s v="Female"/>
    <s v="Patna"/>
    <s v="Book"/>
    <s v="Education"/>
    <n v="5"/>
    <n v="47201.84"/>
    <n v="236009.2"/>
  </r>
  <r>
    <x v="270"/>
    <x v="187"/>
    <x v="271"/>
    <x v="211"/>
    <n v="22"/>
    <s v="Female"/>
    <s v="Patna"/>
    <s v="Book"/>
    <s v="Education"/>
    <n v="5"/>
    <n v="36171.660000000003"/>
    <n v="180858.3"/>
  </r>
  <r>
    <x v="271"/>
    <x v="138"/>
    <x v="87"/>
    <x v="6"/>
    <n v="34"/>
    <s v="Female"/>
    <s v="Patna"/>
    <s v="Laptop"/>
    <s v="Electronics"/>
    <n v="8"/>
    <n v="47311.77"/>
    <n v="378494.16"/>
  </r>
  <r>
    <x v="272"/>
    <x v="188"/>
    <x v="272"/>
    <x v="212"/>
    <n v="23"/>
    <s v="Female"/>
    <s v="Mumbai"/>
    <s v="Book"/>
    <s v="Education"/>
    <n v="9"/>
    <n v="28865.26"/>
    <n v="259787.34"/>
  </r>
  <r>
    <x v="273"/>
    <x v="121"/>
    <x v="273"/>
    <x v="213"/>
    <n v="63"/>
    <s v="Female"/>
    <s v="Bengaluru"/>
    <s v="Mobile"/>
    <s v="Electronics"/>
    <n v="2"/>
    <n v="48433.7"/>
    <n v="96867.4"/>
  </r>
  <r>
    <x v="274"/>
    <x v="22"/>
    <x v="274"/>
    <x v="173"/>
    <n v="63"/>
    <s v="Female"/>
    <s v="Patna"/>
    <s v="Chair"/>
    <s v="Furniture"/>
    <n v="7"/>
    <n v="7528.42"/>
    <n v="52698.94"/>
  </r>
  <r>
    <x v="275"/>
    <x v="189"/>
    <x v="275"/>
    <x v="214"/>
    <n v="54"/>
    <s v="Male"/>
    <s v="Gaya"/>
    <s v="Mobile"/>
    <s v="Electronics"/>
    <n v="4"/>
    <n v="46629.93"/>
    <n v="186519.72"/>
  </r>
  <r>
    <x v="276"/>
    <x v="190"/>
    <x v="276"/>
    <x v="215"/>
    <n v="21"/>
    <s v="Female"/>
    <s v="Bengaluru"/>
    <s v="Shoes"/>
    <s v="Fashion"/>
    <n v="3"/>
    <n v="32403.32"/>
    <n v="97209.96"/>
  </r>
  <r>
    <x v="277"/>
    <x v="185"/>
    <x v="277"/>
    <x v="216"/>
    <n v="18"/>
    <s v="Male"/>
    <s v="Delhi"/>
    <s v="Mobile"/>
    <s v="Electronics"/>
    <n v="6"/>
    <n v="14220.63"/>
    <n v="85323.78"/>
  </r>
  <r>
    <x v="278"/>
    <x v="191"/>
    <x v="278"/>
    <x v="217"/>
    <n v="26"/>
    <s v="Female"/>
    <s v="Delhi"/>
    <s v="Laptop"/>
    <s v="Electronics"/>
    <n v="6"/>
    <n v="5810.2"/>
    <n v="34861.199999999997"/>
  </r>
  <r>
    <x v="279"/>
    <x v="192"/>
    <x v="279"/>
    <x v="218"/>
    <n v="39"/>
    <s v="Female"/>
    <s v="Kolkata"/>
    <s v="Laptop"/>
    <s v="Electronics"/>
    <n v="6"/>
    <n v="22627.46"/>
    <n v="135764.76"/>
  </r>
  <r>
    <x v="280"/>
    <x v="193"/>
    <x v="280"/>
    <x v="101"/>
    <n v="65"/>
    <s v="Female"/>
    <s v="Mumbai"/>
    <s v="Mobile"/>
    <s v="Electronics"/>
    <n v="9"/>
    <n v="20619.080000000002"/>
    <n v="185571.72"/>
  </r>
  <r>
    <x v="281"/>
    <x v="194"/>
    <x v="281"/>
    <x v="219"/>
    <n v="18"/>
    <s v="Male"/>
    <s v="Hyderabad"/>
    <s v="Shoes"/>
    <s v="Fashion"/>
    <n v="2"/>
    <n v="45034.12"/>
    <n v="90068.24"/>
  </r>
  <r>
    <x v="282"/>
    <x v="195"/>
    <x v="282"/>
    <x v="210"/>
    <n v="64"/>
    <s v="Female"/>
    <s v="Hyderabad"/>
    <s v="Rice"/>
    <s v="Grocery"/>
    <n v="2"/>
    <n v="40768.5"/>
    <n v="81537"/>
  </r>
  <r>
    <x v="283"/>
    <x v="139"/>
    <x v="283"/>
    <x v="220"/>
    <n v="52"/>
    <s v="Male"/>
    <s v="Delhi"/>
    <s v="Mobile"/>
    <s v="Electronics"/>
    <n v="3"/>
    <n v="35888.629999999997"/>
    <n v="107665.89"/>
  </r>
  <r>
    <x v="284"/>
    <x v="130"/>
    <x v="284"/>
    <x v="221"/>
    <n v="46"/>
    <s v="Male"/>
    <s v="Delhi"/>
    <s v="Laptop"/>
    <s v="Electronics"/>
    <n v="9"/>
    <n v="23875.09"/>
    <n v="214875.81"/>
  </r>
  <r>
    <x v="285"/>
    <x v="84"/>
    <x v="285"/>
    <x v="222"/>
    <n v="31"/>
    <s v="Male"/>
    <s v="Kolkata"/>
    <s v="Shoes"/>
    <s v="Fashion"/>
    <n v="2"/>
    <n v="17100.29"/>
    <n v="34200.58"/>
  </r>
  <r>
    <x v="286"/>
    <x v="196"/>
    <x v="286"/>
    <x v="223"/>
    <n v="51"/>
    <s v="Male"/>
    <s v="Mumbai"/>
    <s v="Chair"/>
    <s v="Furniture"/>
    <n v="7"/>
    <n v="15202.84"/>
    <n v="106419.88"/>
  </r>
  <r>
    <x v="287"/>
    <x v="126"/>
    <x v="287"/>
    <x v="224"/>
    <n v="22"/>
    <s v="Female"/>
    <s v="Patna"/>
    <s v="Mobile"/>
    <s v="Electronics"/>
    <n v="6"/>
    <n v="17696.96"/>
    <n v="106181.75999999999"/>
  </r>
  <r>
    <x v="288"/>
    <x v="34"/>
    <x v="288"/>
    <x v="75"/>
    <n v="23"/>
    <s v="Male"/>
    <s v="Gaya"/>
    <s v="Rice"/>
    <s v="Grocery"/>
    <n v="6"/>
    <n v="13138.1"/>
    <n v="78828.600000000006"/>
  </r>
  <r>
    <x v="289"/>
    <x v="8"/>
    <x v="289"/>
    <x v="225"/>
    <n v="44"/>
    <s v="Female"/>
    <s v="Kolkata"/>
    <s v="Book"/>
    <s v="Education"/>
    <n v="5"/>
    <n v="3842.06"/>
    <n v="19210.3"/>
  </r>
  <r>
    <x v="290"/>
    <x v="197"/>
    <x v="290"/>
    <x v="226"/>
    <n v="41"/>
    <s v="Female"/>
    <s v="Hyderabad"/>
    <s v="Rice"/>
    <s v="Grocery"/>
    <n v="4"/>
    <n v="6495.5"/>
    <n v="25982"/>
  </r>
  <r>
    <x v="291"/>
    <x v="170"/>
    <x v="291"/>
    <x v="227"/>
    <n v="18"/>
    <s v="Female"/>
    <s v="Bengaluru"/>
    <s v="Book"/>
    <s v="Education"/>
    <n v="4"/>
    <n v="43207.48"/>
    <n v="172829.92"/>
  </r>
  <r>
    <x v="292"/>
    <x v="41"/>
    <x v="292"/>
    <x v="18"/>
    <n v="30"/>
    <s v="Female"/>
    <s v="Hyderabad"/>
    <s v="Book"/>
    <s v="Education"/>
    <n v="4"/>
    <n v="49876.67"/>
    <n v="199506.68"/>
  </r>
  <r>
    <x v="293"/>
    <x v="198"/>
    <x v="293"/>
    <x v="228"/>
    <n v="18"/>
    <s v="Male"/>
    <s v="Mumbai"/>
    <s v="Chair"/>
    <s v="Furniture"/>
    <n v="1"/>
    <n v="2599.12"/>
    <n v="2599.12"/>
  </r>
  <r>
    <x v="294"/>
    <x v="199"/>
    <x v="294"/>
    <x v="209"/>
    <n v="37"/>
    <s v="Female"/>
    <s v="Pune"/>
    <s v="Mobile"/>
    <s v="Electronics"/>
    <n v="4"/>
    <n v="6652.95"/>
    <n v="26611.8"/>
  </r>
  <r>
    <x v="295"/>
    <x v="108"/>
    <x v="295"/>
    <x v="229"/>
    <n v="39"/>
    <s v="Male"/>
    <s v="Delhi"/>
    <s v="Laptop"/>
    <s v="Electronics"/>
    <n v="4"/>
    <n v="20533.23"/>
    <n v="82132.92"/>
  </r>
  <r>
    <x v="296"/>
    <x v="142"/>
    <x v="296"/>
    <x v="230"/>
    <m/>
    <s v="Male"/>
    <m/>
    <s v="Chair"/>
    <s v="Furniture"/>
    <n v="6"/>
    <n v="28595.31"/>
    <n v="171571.86"/>
  </r>
  <r>
    <x v="297"/>
    <x v="200"/>
    <x v="297"/>
    <x v="231"/>
    <n v="30"/>
    <s v="Male"/>
    <s v="Kolkata"/>
    <s v="Mobile"/>
    <s v="Electronics"/>
    <n v="5"/>
    <n v="9509.1299999999992"/>
    <n v="47545.65"/>
  </r>
  <r>
    <x v="298"/>
    <x v="28"/>
    <x v="298"/>
    <x v="232"/>
    <n v="30"/>
    <s v="Male"/>
    <s v="Patna"/>
    <s v="Chair"/>
    <s v="Furniture"/>
    <n v="7"/>
    <n v="1106.55"/>
    <n v="7745.85"/>
  </r>
  <r>
    <x v="299"/>
    <x v="100"/>
    <x v="299"/>
    <x v="122"/>
    <n v="36"/>
    <s v="Male"/>
    <s v="Patna"/>
    <s v="Shoes"/>
    <s v="Fashion"/>
    <n v="6"/>
    <n v="39075.07"/>
    <n v="234450.42"/>
  </r>
  <r>
    <x v="300"/>
    <x v="56"/>
    <x v="300"/>
    <x v="233"/>
    <n v="20"/>
    <s v="Female"/>
    <s v="Gaya"/>
    <s v="Chair"/>
    <s v="Furniture"/>
    <n v="7"/>
    <n v="7046.4"/>
    <n v="49324.800000000003"/>
  </r>
  <r>
    <x v="301"/>
    <x v="201"/>
    <x v="301"/>
    <x v="227"/>
    <n v="40"/>
    <s v="Male"/>
    <s v="Patna"/>
    <s v="Shoes"/>
    <s v="Fashion"/>
    <n v="5"/>
    <n v="40763.949999999997"/>
    <n v="203819.75"/>
  </r>
  <r>
    <x v="302"/>
    <x v="202"/>
    <x v="302"/>
    <x v="33"/>
    <n v="52"/>
    <s v="Female"/>
    <s v="Patna"/>
    <s v="Shoes"/>
    <s v="Fashion"/>
    <n v="1"/>
    <n v="3727.43"/>
    <n v="3727.43"/>
  </r>
  <r>
    <x v="303"/>
    <x v="71"/>
    <x v="303"/>
    <x v="234"/>
    <n v="53"/>
    <s v="Male"/>
    <s v="Patna"/>
    <s v="Rice"/>
    <s v="Grocery"/>
    <n v="4"/>
    <n v="46771.94"/>
    <n v="187087.76"/>
  </r>
  <r>
    <x v="304"/>
    <x v="53"/>
    <x v="304"/>
    <x v="235"/>
    <n v="50"/>
    <s v="Male"/>
    <s v="Kolkata"/>
    <s v="Book"/>
    <s v="Education"/>
    <n v="7"/>
    <n v="43207.91"/>
    <n v="302455.37"/>
  </r>
  <r>
    <x v="305"/>
    <x v="157"/>
    <x v="305"/>
    <x v="212"/>
    <n v="50"/>
    <s v="Female"/>
    <s v="Patna"/>
    <s v="Book"/>
    <s v="Education"/>
    <n v="3"/>
    <n v="5803.11"/>
    <n v="17409.330000000002"/>
  </r>
  <r>
    <x v="306"/>
    <x v="203"/>
    <x v="306"/>
    <x v="236"/>
    <n v="27"/>
    <s v="Male"/>
    <s v="Delhi"/>
    <s v="Book"/>
    <s v="Education"/>
    <n v="4"/>
    <n v="30974.95"/>
    <n v="123899.8"/>
  </r>
  <r>
    <x v="307"/>
    <x v="146"/>
    <x v="307"/>
    <x v="237"/>
    <n v="56"/>
    <s v="Male"/>
    <s v="Hyderabad"/>
    <s v="Shoes"/>
    <s v="Fashion"/>
    <n v="4"/>
    <n v="40276.76"/>
    <n v="161107.04"/>
  </r>
  <r>
    <x v="308"/>
    <x v="86"/>
    <x v="308"/>
    <x v="238"/>
    <n v="64"/>
    <s v="Male"/>
    <s v="Hyderabad"/>
    <s v="Mobile"/>
    <s v="Electronics"/>
    <n v="8"/>
    <n v="17270.72"/>
    <n v="138165.76000000001"/>
  </r>
  <r>
    <x v="309"/>
    <x v="195"/>
    <x v="309"/>
    <x v="20"/>
    <n v="64"/>
    <s v="Female"/>
    <s v="Hyderabad"/>
    <s v="Book"/>
    <s v="Education"/>
    <n v="6"/>
    <n v="8249.36"/>
    <n v="49496.160000000003"/>
  </r>
  <r>
    <x v="310"/>
    <x v="124"/>
    <x v="310"/>
    <x v="128"/>
    <n v="49"/>
    <s v="Female"/>
    <s v="Bengaluru"/>
    <s v="Mobile"/>
    <s v="Electronics"/>
    <n v="8"/>
    <n v="42935.06"/>
    <n v="343480.48"/>
  </r>
  <r>
    <x v="311"/>
    <x v="49"/>
    <x v="311"/>
    <x v="7"/>
    <n v="51"/>
    <s v="Female"/>
    <s v="Delhi"/>
    <s v="Laptop"/>
    <s v="Electronics"/>
    <n v="8"/>
    <n v="1722.06"/>
    <n v="13776.48"/>
  </r>
  <r>
    <x v="312"/>
    <x v="37"/>
    <x v="312"/>
    <x v="16"/>
    <n v="32"/>
    <s v="Male"/>
    <s v="Pune"/>
    <s v="Mobile"/>
    <s v="Electronics"/>
    <n v="5"/>
    <n v="25857.91"/>
    <n v="129289.55"/>
  </r>
  <r>
    <x v="313"/>
    <x v="0"/>
    <x v="15"/>
    <x v="139"/>
    <n v="37"/>
    <s v="Female"/>
    <s v="Hyderabad"/>
    <s v="Book"/>
    <s v="Education"/>
    <n v="4"/>
    <n v="47319.13"/>
    <n v="189276.52"/>
  </r>
  <r>
    <x v="314"/>
    <x v="61"/>
    <x v="313"/>
    <x v="239"/>
    <n v="51"/>
    <s v="Male"/>
    <s v="Kolkata"/>
    <s v="Mobile"/>
    <s v="Electronics"/>
    <n v="2"/>
    <n v="21816.67"/>
    <n v="43633.34"/>
  </r>
  <r>
    <x v="315"/>
    <x v="49"/>
    <x v="314"/>
    <x v="240"/>
    <n v="52"/>
    <s v="Female"/>
    <s v="Patna"/>
    <s v="Shoes"/>
    <s v="Fashion"/>
    <n v="3"/>
    <n v="10075.98"/>
    <n v="30227.94"/>
  </r>
  <r>
    <x v="316"/>
    <x v="204"/>
    <x v="315"/>
    <x v="241"/>
    <n v="52"/>
    <s v="Male"/>
    <s v="Mumbai"/>
    <s v="Laptop"/>
    <s v="Electronics"/>
    <n v="9"/>
    <n v="22182.44"/>
    <n v="199641.96"/>
  </r>
  <r>
    <x v="317"/>
    <x v="182"/>
    <x v="316"/>
    <x v="242"/>
    <n v="54"/>
    <s v="Male"/>
    <s v="Mumbai"/>
    <s v="Book"/>
    <s v="Education"/>
    <n v="6"/>
    <n v="35006.300000000003"/>
    <n v="210037.8"/>
  </r>
  <r>
    <x v="318"/>
    <x v="63"/>
    <x v="317"/>
    <x v="243"/>
    <n v="56"/>
    <s v="Female"/>
    <s v="Kolkata"/>
    <s v="Chair"/>
    <s v="Furniture"/>
    <n v="10"/>
    <n v="16222.64"/>
    <n v="162226.4"/>
  </r>
  <r>
    <x v="319"/>
    <x v="128"/>
    <x v="318"/>
    <x v="244"/>
    <n v="35"/>
    <s v="Male"/>
    <s v="Delhi"/>
    <s v="Mobile"/>
    <s v="Electronics"/>
    <n v="4"/>
    <n v="1935.28"/>
    <n v="7741.12"/>
  </r>
  <r>
    <x v="320"/>
    <x v="205"/>
    <x v="319"/>
    <x v="80"/>
    <n v="54"/>
    <s v="Female"/>
    <s v="Hyderabad"/>
    <s v="Book"/>
    <s v="Education"/>
    <n v="4"/>
    <n v="28385.87"/>
    <n v="113543.48"/>
  </r>
  <r>
    <x v="321"/>
    <x v="206"/>
    <x v="320"/>
    <x v="130"/>
    <n v="40"/>
    <s v="Male"/>
    <s v="Delhi"/>
    <s v="Chair"/>
    <s v="Furniture"/>
    <n v="8"/>
    <n v="33388.11"/>
    <n v="267104.88"/>
  </r>
  <r>
    <x v="322"/>
    <x v="207"/>
    <x v="321"/>
    <x v="245"/>
    <n v="30"/>
    <s v="Female"/>
    <s v="Bengaluru"/>
    <s v="Mobile"/>
    <s v="Electronics"/>
    <n v="1"/>
    <n v="1005.21"/>
    <n v="1005.21"/>
  </r>
  <r>
    <x v="323"/>
    <x v="67"/>
    <x v="322"/>
    <x v="172"/>
    <n v="47"/>
    <s v="Male"/>
    <s v="Gaya"/>
    <s v="Rice"/>
    <s v="Grocery"/>
    <n v="5"/>
    <n v="27900.36"/>
    <n v="139501.79999999999"/>
  </r>
  <r>
    <x v="324"/>
    <x v="11"/>
    <x v="323"/>
    <x v="246"/>
    <n v="65"/>
    <s v="Female"/>
    <s v="Bengaluru"/>
    <s v="Rice"/>
    <s v="Grocery"/>
    <n v="10"/>
    <n v="31855.439999999999"/>
    <n v="318554.40000000002"/>
  </r>
  <r>
    <x v="325"/>
    <x v="208"/>
    <x v="324"/>
    <x v="247"/>
    <n v="48"/>
    <s v="Male"/>
    <s v="Patna"/>
    <s v="Book"/>
    <s v="Education"/>
    <n v="9"/>
    <n v="45988.02"/>
    <n v="413892.18"/>
  </r>
  <r>
    <x v="326"/>
    <x v="1"/>
    <x v="325"/>
    <x v="248"/>
    <n v="62"/>
    <s v="Female"/>
    <s v="Delhi"/>
    <s v="Shoes"/>
    <s v="Fashion"/>
    <n v="7"/>
    <n v="19261.810000000001"/>
    <n v="134832.67000000001"/>
  </r>
  <r>
    <x v="327"/>
    <x v="83"/>
    <x v="326"/>
    <x v="249"/>
    <n v="55"/>
    <s v="Male"/>
    <s v="Patna"/>
    <s v="Laptop"/>
    <s v="Electronics"/>
    <n v="8"/>
    <n v="22233.15"/>
    <n v="177865.2"/>
  </r>
  <r>
    <x v="328"/>
    <x v="209"/>
    <x v="327"/>
    <x v="3"/>
    <n v="44"/>
    <s v="Male"/>
    <s v="Kolkata"/>
    <s v="Shoes"/>
    <s v="Fashion"/>
    <n v="4"/>
    <n v="2247.11"/>
    <n v="8988.44"/>
  </r>
  <r>
    <x v="329"/>
    <x v="210"/>
    <x v="328"/>
    <x v="168"/>
    <n v="41"/>
    <s v="Female"/>
    <s v="Pune"/>
    <s v="Chair"/>
    <s v="Furniture"/>
    <n v="6"/>
    <n v="27965.93"/>
    <n v="167795.58"/>
  </r>
  <r>
    <x v="330"/>
    <x v="211"/>
    <x v="329"/>
    <x v="60"/>
    <n v="29"/>
    <s v="Male"/>
    <s v="Mumbai"/>
    <s v="Chair"/>
    <s v="Furniture"/>
    <n v="5"/>
    <n v="13013.63"/>
    <n v="65068.15"/>
  </r>
  <r>
    <x v="331"/>
    <x v="212"/>
    <x v="330"/>
    <x v="250"/>
    <n v="28"/>
    <s v="Female"/>
    <s v="Kolkata"/>
    <s v="Rice"/>
    <s v="Grocery"/>
    <n v="2"/>
    <n v="31943.19"/>
    <n v="63886.38"/>
  </r>
  <r>
    <x v="332"/>
    <x v="151"/>
    <x v="331"/>
    <x v="208"/>
    <n v="35"/>
    <s v="Male"/>
    <s v="Mumbai"/>
    <s v="Laptop"/>
    <s v="Electronics"/>
    <n v="5"/>
    <n v="26823.14"/>
    <n v="134115.70000000001"/>
  </r>
  <r>
    <x v="333"/>
    <x v="6"/>
    <x v="332"/>
    <x v="251"/>
    <n v="57"/>
    <s v="Male"/>
    <s v="Pune"/>
    <s v="Shoes"/>
    <s v="Fashion"/>
    <n v="10"/>
    <n v="11637.38"/>
    <n v="116373.8"/>
  </r>
  <r>
    <x v="334"/>
    <x v="171"/>
    <x v="333"/>
    <x v="252"/>
    <n v="53"/>
    <s v="Female"/>
    <s v="Delhi"/>
    <s v="Chair"/>
    <s v="Furniture"/>
    <n v="5"/>
    <n v="38518.949999999997"/>
    <n v="192594.75"/>
  </r>
  <r>
    <x v="335"/>
    <x v="197"/>
    <x v="334"/>
    <x v="253"/>
    <n v="65"/>
    <s v="Male"/>
    <s v="Mumbai"/>
    <s v="Laptop"/>
    <s v="Electronics"/>
    <n v="6"/>
    <n v="25123.86"/>
    <n v="150743.16"/>
  </r>
  <r>
    <x v="336"/>
    <x v="181"/>
    <x v="335"/>
    <x v="7"/>
    <n v="47"/>
    <s v="Female"/>
    <s v="Pune"/>
    <s v="Mobile"/>
    <s v="Electronics"/>
    <n v="9"/>
    <n v="47289.86"/>
    <n v="425608.74"/>
  </r>
  <r>
    <x v="337"/>
    <x v="88"/>
    <x v="336"/>
    <x v="148"/>
    <n v="52"/>
    <s v="Female"/>
    <s v="Bengaluru"/>
    <s v="Book"/>
    <s v="Education"/>
    <n v="4"/>
    <n v="18655.09"/>
    <n v="74620.36"/>
  </r>
  <r>
    <x v="338"/>
    <x v="213"/>
    <x v="337"/>
    <x v="149"/>
    <n v="47"/>
    <s v="Male"/>
    <s v="Mumbai"/>
    <s v="Book"/>
    <s v="Education"/>
    <n v="3"/>
    <n v="45718.65"/>
    <n v="137155.95000000001"/>
  </r>
  <r>
    <x v="339"/>
    <x v="80"/>
    <x v="338"/>
    <x v="132"/>
    <n v="50"/>
    <s v="Female"/>
    <s v="Pune"/>
    <s v="Rice"/>
    <s v="Grocery"/>
    <n v="10"/>
    <n v="21580.33"/>
    <n v="215803.3"/>
  </r>
  <r>
    <x v="340"/>
    <x v="214"/>
    <x v="339"/>
    <x v="120"/>
    <n v="31"/>
    <s v="Female"/>
    <s v="Patna"/>
    <s v="Shoes"/>
    <s v="Fashion"/>
    <n v="5"/>
    <n v="10932.32"/>
    <n v="54661.599999999999"/>
  </r>
  <r>
    <x v="341"/>
    <x v="215"/>
    <x v="276"/>
    <x v="254"/>
    <n v="56"/>
    <s v="Female"/>
    <s v="Gaya"/>
    <s v="Mobile"/>
    <s v="Electronics"/>
    <n v="6"/>
    <n v="12740.73"/>
    <n v="76444.38"/>
  </r>
  <r>
    <x v="342"/>
    <x v="172"/>
    <x v="340"/>
    <x v="18"/>
    <n v="31"/>
    <s v="Male"/>
    <s v="Bengaluru"/>
    <s v="Rice"/>
    <s v="Grocery"/>
    <n v="9"/>
    <n v="12137.54"/>
    <n v="109237.86"/>
  </r>
  <r>
    <x v="343"/>
    <x v="127"/>
    <x v="341"/>
    <x v="255"/>
    <n v="37"/>
    <s v="Male"/>
    <s v="Delhi"/>
    <s v="Shoes"/>
    <s v="Fashion"/>
    <n v="1"/>
    <n v="36943.51"/>
    <n v="36943.51"/>
  </r>
  <r>
    <x v="344"/>
    <x v="216"/>
    <x v="342"/>
    <x v="256"/>
    <n v="42"/>
    <s v="Male"/>
    <s v="Delhi"/>
    <s v="Rice"/>
    <s v="Grocery"/>
    <n v="2"/>
    <n v="33566.199999999997"/>
    <n v="67132.399999999994"/>
  </r>
  <r>
    <x v="345"/>
    <x v="100"/>
    <x v="343"/>
    <x v="169"/>
    <n v="38"/>
    <s v="Female"/>
    <s v="Bengaluru"/>
    <s v="Shoes"/>
    <s v="Fashion"/>
    <n v="2"/>
    <n v="32332.27"/>
    <n v="64664.54"/>
  </r>
  <r>
    <x v="346"/>
    <x v="99"/>
    <x v="344"/>
    <x v="42"/>
    <m/>
    <s v="Male"/>
    <s v="Pune"/>
    <s v="Laptop"/>
    <s v="Electronics"/>
    <n v="8"/>
    <n v="47254.7"/>
    <n v="378037.6"/>
  </r>
  <r>
    <x v="347"/>
    <x v="217"/>
    <x v="345"/>
    <x v="237"/>
    <n v="50"/>
    <s v="Male"/>
    <s v="Bengaluru"/>
    <s v="Chair"/>
    <s v="Furniture"/>
    <n v="3"/>
    <n v="42538.14"/>
    <n v="127614.42"/>
  </r>
  <r>
    <x v="348"/>
    <x v="151"/>
    <x v="346"/>
    <x v="17"/>
    <n v="37"/>
    <s v="Male"/>
    <s v="Mumbai"/>
    <s v="Mobile"/>
    <s v="Electronics"/>
    <n v="4"/>
    <n v="25840.34"/>
    <n v="103361.36"/>
  </r>
  <r>
    <x v="349"/>
    <x v="88"/>
    <x v="347"/>
    <x v="127"/>
    <n v="55"/>
    <s v="Male"/>
    <s v="Bengaluru"/>
    <s v="Laptop"/>
    <s v="Electronics"/>
    <n v="1"/>
    <n v="8162.84"/>
    <n v="8162.84"/>
  </r>
  <r>
    <x v="350"/>
    <x v="55"/>
    <x v="348"/>
    <x v="257"/>
    <n v="34"/>
    <s v="Male"/>
    <s v="Mumbai"/>
    <s v="Chair"/>
    <s v="Furniture"/>
    <n v="5"/>
    <n v="49012.25"/>
    <n v="245061.25"/>
  </r>
  <r>
    <x v="351"/>
    <x v="35"/>
    <x v="349"/>
    <x v="41"/>
    <n v="29"/>
    <s v="Male"/>
    <s v="Gaya"/>
    <s v="Rice"/>
    <s v="Grocery"/>
    <n v="5"/>
    <n v="19538.669999999998"/>
    <n v="97693.35"/>
  </r>
  <r>
    <x v="352"/>
    <x v="177"/>
    <x v="350"/>
    <x v="258"/>
    <n v="55"/>
    <s v="Female"/>
    <s v="Hyderabad"/>
    <s v="Book"/>
    <s v="Education"/>
    <n v="1"/>
    <n v="5053.68"/>
    <n v="5053.68"/>
  </r>
  <r>
    <x v="353"/>
    <x v="57"/>
    <x v="351"/>
    <x v="259"/>
    <n v="28"/>
    <s v="Male"/>
    <s v="Gaya"/>
    <s v="Laptop"/>
    <s v="Electronics"/>
    <n v="6"/>
    <n v="14400.18"/>
    <n v="86401.08"/>
  </r>
  <r>
    <x v="354"/>
    <x v="218"/>
    <x v="352"/>
    <x v="37"/>
    <n v="43"/>
    <s v="Female"/>
    <s v="Kolkata"/>
    <s v="Chair"/>
    <s v="Furniture"/>
    <n v="4"/>
    <n v="28464.26"/>
    <n v="113857.04"/>
  </r>
  <r>
    <x v="355"/>
    <x v="136"/>
    <x v="353"/>
    <x v="134"/>
    <n v="32"/>
    <s v="Female"/>
    <s v="Delhi"/>
    <s v="Shoes"/>
    <s v="Fashion"/>
    <n v="5"/>
    <n v="40682.5"/>
    <n v="203412.5"/>
  </r>
  <r>
    <x v="48"/>
    <x v="219"/>
    <x v="354"/>
    <x v="27"/>
    <n v="24"/>
    <s v="Female"/>
    <s v="Pune"/>
    <s v="Rice"/>
    <s v="Grocery"/>
    <n v="7"/>
    <n v="45480.39"/>
    <n v="318362.73"/>
  </r>
  <r>
    <x v="356"/>
    <x v="42"/>
    <x v="355"/>
    <x v="155"/>
    <n v="52"/>
    <s v="Female"/>
    <s v="Delhi"/>
    <s v="Book"/>
    <s v="Education"/>
    <n v="6"/>
    <n v="42742.96"/>
    <n v="256457.76"/>
  </r>
  <r>
    <x v="357"/>
    <x v="220"/>
    <x v="356"/>
    <x v="173"/>
    <n v="64"/>
    <s v="Female"/>
    <s v="Pune"/>
    <s v="Laptop"/>
    <s v="Electronics"/>
    <n v="10"/>
    <n v="19010.689999999999"/>
    <n v="190106.9"/>
  </r>
  <r>
    <x v="358"/>
    <x v="221"/>
    <x v="357"/>
    <x v="260"/>
    <n v="35"/>
    <s v="Male"/>
    <s v="Pune"/>
    <s v="Laptop"/>
    <s v="Electronics"/>
    <n v="5"/>
    <n v="31244.32"/>
    <n v="156221.6"/>
  </r>
  <r>
    <x v="359"/>
    <x v="51"/>
    <x v="358"/>
    <x v="261"/>
    <n v="32"/>
    <s v="Male"/>
    <s v="Bengaluru"/>
    <s v="Laptop"/>
    <s v="Electronics"/>
    <n v="7"/>
    <n v="42733.08"/>
    <n v="299131.56"/>
  </r>
  <r>
    <x v="360"/>
    <x v="68"/>
    <x v="359"/>
    <x v="86"/>
    <n v="61"/>
    <s v="Female"/>
    <s v="Gaya"/>
    <s v="Shoes"/>
    <s v="Fashion"/>
    <n v="1"/>
    <n v="44751.42"/>
    <n v="44751.42"/>
  </r>
  <r>
    <x v="361"/>
    <x v="222"/>
    <x v="360"/>
    <x v="126"/>
    <n v="18"/>
    <s v="Male"/>
    <s v="Bengaluru"/>
    <s v="Mobile"/>
    <s v="Electronics"/>
    <n v="10"/>
    <n v="47493.59"/>
    <n v="474935.9"/>
  </r>
  <r>
    <x v="362"/>
    <x v="223"/>
    <x v="361"/>
    <x v="67"/>
    <n v="43"/>
    <s v="Female"/>
    <s v="Gaya"/>
    <s v="Shoes"/>
    <s v="Fashion"/>
    <n v="8"/>
    <n v="46122.45"/>
    <n v="368979.6"/>
  </r>
  <r>
    <x v="363"/>
    <x v="224"/>
    <x v="362"/>
    <x v="108"/>
    <n v="61"/>
    <s v="Male"/>
    <s v="Bengaluru"/>
    <s v="Shoes"/>
    <s v="Fashion"/>
    <n v="3"/>
    <n v="31028.12"/>
    <n v="93084.36"/>
  </r>
  <r>
    <x v="364"/>
    <x v="225"/>
    <x v="363"/>
    <x v="262"/>
    <n v="26"/>
    <s v="Male"/>
    <s v="Bengaluru"/>
    <s v="Shoes"/>
    <s v="Fashion"/>
    <n v="2"/>
    <n v="48986.48"/>
    <n v="97972.96"/>
  </r>
  <r>
    <x v="365"/>
    <x v="136"/>
    <x v="364"/>
    <x v="177"/>
    <n v="37"/>
    <s v="Male"/>
    <s v="Patna"/>
    <s v="Mobile"/>
    <s v="Electronics"/>
    <n v="10"/>
    <n v="12839.38"/>
    <n v="128393.8"/>
  </r>
  <r>
    <x v="366"/>
    <x v="226"/>
    <x v="365"/>
    <x v="233"/>
    <n v="29"/>
    <s v="Female"/>
    <s v="Kolkata"/>
    <s v="Mobile"/>
    <s v="Electronics"/>
    <n v="1"/>
    <n v="6050.27"/>
    <n v="6050.27"/>
  </r>
  <r>
    <x v="367"/>
    <x v="227"/>
    <x v="366"/>
    <x v="263"/>
    <n v="57"/>
    <s v="Male"/>
    <s v="Mumbai"/>
    <s v="Mobile"/>
    <s v="Electronics"/>
    <n v="2"/>
    <n v="42518.8"/>
    <n v="85037.6"/>
  </r>
  <r>
    <x v="368"/>
    <x v="140"/>
    <x v="367"/>
    <x v="188"/>
    <n v="49"/>
    <s v="Female"/>
    <s v="Mumbai"/>
    <s v="Rice"/>
    <s v="Grocery"/>
    <n v="4"/>
    <n v="22806.21"/>
    <n v="91224.84"/>
  </r>
  <r>
    <x v="369"/>
    <x v="228"/>
    <x v="368"/>
    <x v="264"/>
    <n v="32"/>
    <s v="Female"/>
    <s v="Bengaluru"/>
    <s v="Laptop"/>
    <s v="Electronics"/>
    <n v="4"/>
    <n v="39453.46"/>
    <n v="157813.84"/>
  </r>
  <r>
    <x v="370"/>
    <x v="11"/>
    <x v="369"/>
    <x v="265"/>
    <n v="20"/>
    <s v="Male"/>
    <m/>
    <s v="Laptop"/>
    <s v="Electronics"/>
    <n v="2"/>
    <n v="28311.58"/>
    <n v="56623.16"/>
  </r>
  <r>
    <x v="371"/>
    <x v="229"/>
    <x v="370"/>
    <x v="37"/>
    <n v="54"/>
    <s v="Female"/>
    <s v="Delhi"/>
    <s v="Rice"/>
    <s v="Grocery"/>
    <n v="3"/>
    <n v="11513.96"/>
    <n v="34541.879999999997"/>
  </r>
  <r>
    <x v="372"/>
    <x v="45"/>
    <x v="371"/>
    <x v="266"/>
    <n v="33"/>
    <s v="Male"/>
    <s v="Bengaluru"/>
    <s v="Shoes"/>
    <s v="Fashion"/>
    <n v="8"/>
    <n v="16079.7"/>
    <n v="128637.6"/>
  </r>
  <r>
    <x v="373"/>
    <x v="230"/>
    <x v="372"/>
    <x v="155"/>
    <n v="64"/>
    <s v="Female"/>
    <s v="Patna"/>
    <s v="Book"/>
    <s v="Education"/>
    <n v="5"/>
    <n v="21152.92"/>
    <n v="105764.6"/>
  </r>
  <r>
    <x v="374"/>
    <x v="83"/>
    <x v="373"/>
    <x v="54"/>
    <n v="22"/>
    <s v="Female"/>
    <s v="Pune"/>
    <s v="Mobile"/>
    <s v="Electronics"/>
    <n v="7"/>
    <n v="20998.7"/>
    <n v="146990.9"/>
  </r>
  <r>
    <x v="375"/>
    <x v="114"/>
    <x v="374"/>
    <x v="267"/>
    <n v="57"/>
    <s v="Male"/>
    <s v="Kolkata"/>
    <s v="Rice"/>
    <s v="Grocery"/>
    <n v="6"/>
    <n v="13054.61"/>
    <n v="78327.66"/>
  </r>
  <r>
    <x v="376"/>
    <x v="138"/>
    <x v="375"/>
    <x v="268"/>
    <n v="53"/>
    <s v="Male"/>
    <s v="Pune"/>
    <s v="Mobile"/>
    <s v="Electronics"/>
    <n v="9"/>
    <n v="46780.58"/>
    <n v="421025.22"/>
  </r>
  <r>
    <x v="377"/>
    <x v="212"/>
    <x v="376"/>
    <x v="198"/>
    <n v="35"/>
    <s v="Male"/>
    <s v="Kolkata"/>
    <s v="Shoes"/>
    <s v="Fashion"/>
    <n v="7"/>
    <n v="34258.83"/>
    <n v="239811.81"/>
  </r>
  <r>
    <x v="378"/>
    <x v="65"/>
    <x v="377"/>
    <x v="269"/>
    <n v="23"/>
    <s v="Male"/>
    <s v="Delhi"/>
    <s v="Mobile"/>
    <s v="Electronics"/>
    <n v="7"/>
    <n v="17055.84"/>
    <n v="119390.88"/>
  </r>
  <r>
    <x v="379"/>
    <x v="95"/>
    <x v="378"/>
    <x v="9"/>
    <n v="40"/>
    <s v="Female"/>
    <s v="Patna"/>
    <s v="Chair"/>
    <s v="Furniture"/>
    <n v="10"/>
    <n v="7876.48"/>
    <n v="78764.800000000003"/>
  </r>
  <r>
    <x v="380"/>
    <x v="231"/>
    <x v="379"/>
    <x v="270"/>
    <n v="53"/>
    <s v="Female"/>
    <s v="Delhi"/>
    <s v="Mobile"/>
    <s v="Electronics"/>
    <n v="10"/>
    <n v="34976.79"/>
    <n v="349767.9"/>
  </r>
  <r>
    <x v="381"/>
    <x v="117"/>
    <x v="380"/>
    <x v="271"/>
    <n v="34"/>
    <s v="Female"/>
    <s v="Delhi"/>
    <s v="Chair"/>
    <s v="Furniture"/>
    <n v="8"/>
    <n v="38672.339999999997"/>
    <n v="309378.71999999997"/>
  </r>
  <r>
    <x v="382"/>
    <x v="232"/>
    <x v="381"/>
    <x v="272"/>
    <n v="18"/>
    <s v="Female"/>
    <s v="Kolkata"/>
    <s v="Shoes"/>
    <s v="Fashion"/>
    <n v="1"/>
    <n v="48695.59"/>
    <n v="48695.59"/>
  </r>
  <r>
    <x v="383"/>
    <x v="20"/>
    <x v="382"/>
    <x v="200"/>
    <n v="39"/>
    <s v="Male"/>
    <s v="Hyderabad"/>
    <s v="Book"/>
    <s v="Education"/>
    <n v="9"/>
    <n v="41871.43"/>
    <n v="376842.87"/>
  </r>
  <r>
    <x v="384"/>
    <x v="14"/>
    <x v="383"/>
    <x v="161"/>
    <n v="64"/>
    <s v="Male"/>
    <s v="Patna"/>
    <s v="Mobile"/>
    <s v="Electronics"/>
    <n v="6"/>
    <n v="26179.81"/>
    <n v="157078.85999999999"/>
  </r>
  <r>
    <x v="385"/>
    <x v="157"/>
    <x v="384"/>
    <x v="229"/>
    <n v="52"/>
    <s v="Male"/>
    <s v="Delhi"/>
    <s v="Shoes"/>
    <s v="Fashion"/>
    <n v="1"/>
    <n v="23398.57"/>
    <n v="23398.57"/>
  </r>
  <r>
    <x v="386"/>
    <x v="67"/>
    <x v="239"/>
    <x v="33"/>
    <n v="20"/>
    <s v="Male"/>
    <s v="Kolkata"/>
    <s v="Laptop"/>
    <s v="Electronics"/>
    <n v="5"/>
    <n v="24596.560000000001"/>
    <n v="122982.8"/>
  </r>
  <r>
    <x v="387"/>
    <x v="218"/>
    <x v="385"/>
    <x v="19"/>
    <n v="37"/>
    <s v="Female"/>
    <s v="Bengaluru"/>
    <s v="Shoes"/>
    <s v="Fashion"/>
    <n v="1"/>
    <n v="35804.49"/>
    <n v="35804.49"/>
  </r>
  <r>
    <x v="388"/>
    <x v="48"/>
    <x v="386"/>
    <x v="273"/>
    <n v="24"/>
    <s v="Female"/>
    <s v="Hyderabad"/>
    <s v="Mobile"/>
    <s v="Electronics"/>
    <n v="3"/>
    <n v="36239.15"/>
    <n v="108717.45"/>
  </r>
  <r>
    <x v="389"/>
    <x v="233"/>
    <x v="387"/>
    <x v="274"/>
    <n v="27"/>
    <s v="Female"/>
    <s v="Pune"/>
    <s v="Shoes"/>
    <s v="Fashion"/>
    <n v="5"/>
    <n v="21143.07"/>
    <n v="105715.35"/>
  </r>
  <r>
    <x v="390"/>
    <x v="120"/>
    <x v="388"/>
    <x v="275"/>
    <n v="47"/>
    <s v="Male"/>
    <s v="Bengaluru"/>
    <s v="Rice"/>
    <s v="Grocery"/>
    <n v="8"/>
    <n v="30277.06"/>
    <n v="242216.48"/>
  </r>
  <r>
    <x v="391"/>
    <x v="93"/>
    <x v="52"/>
    <x v="276"/>
    <n v="53"/>
    <s v="Female"/>
    <s v="Mumbai"/>
    <s v="Laptop"/>
    <s v="Electronics"/>
    <n v="4"/>
    <n v="41264.559999999998"/>
    <n v="165058.23999999999"/>
  </r>
  <r>
    <x v="392"/>
    <x v="169"/>
    <x v="389"/>
    <x v="129"/>
    <n v="35"/>
    <s v="Female"/>
    <s v="Gaya"/>
    <s v="Book"/>
    <s v="Education"/>
    <n v="5"/>
    <n v="11761.9"/>
    <n v="58809.5"/>
  </r>
  <r>
    <x v="393"/>
    <x v="36"/>
    <x v="390"/>
    <x v="277"/>
    <n v="58"/>
    <s v="Female"/>
    <s v="Bengaluru"/>
    <s v="Mobile"/>
    <s v="Electronics"/>
    <n v="9"/>
    <n v="48807.37"/>
    <n v="439266.33"/>
  </r>
  <r>
    <x v="394"/>
    <x v="234"/>
    <x v="391"/>
    <x v="278"/>
    <n v="63"/>
    <s v="Female"/>
    <s v="Bengaluru"/>
    <s v="Rice"/>
    <s v="Grocery"/>
    <n v="4"/>
    <n v="1895.99"/>
    <n v="7583.96"/>
  </r>
  <r>
    <x v="395"/>
    <x v="39"/>
    <x v="392"/>
    <x v="279"/>
    <m/>
    <s v="Female"/>
    <s v="Hyderabad"/>
    <s v="Book"/>
    <s v="Education"/>
    <n v="3"/>
    <n v="26269.62"/>
    <n v="78808.86"/>
  </r>
  <r>
    <x v="396"/>
    <x v="159"/>
    <x v="393"/>
    <x v="102"/>
    <n v="28"/>
    <s v="Male"/>
    <s v="Patna"/>
    <s v="Mobile"/>
    <s v="Electronics"/>
    <n v="2"/>
    <n v="1793.29"/>
    <n v="3586.58"/>
  </r>
  <r>
    <x v="397"/>
    <x v="154"/>
    <x v="394"/>
    <x v="163"/>
    <n v="40"/>
    <s v="Female"/>
    <s v="Mumbai"/>
    <s v="Shoes"/>
    <s v="Fashion"/>
    <n v="5"/>
    <n v="18223.060000000001"/>
    <n v="91115.3"/>
  </r>
  <r>
    <x v="398"/>
    <x v="235"/>
    <x v="395"/>
    <x v="280"/>
    <n v="25"/>
    <s v="Female"/>
    <s v="Gaya"/>
    <s v="Book"/>
    <s v="Education"/>
    <n v="7"/>
    <n v="43850.91"/>
    <n v="306956.37"/>
  </r>
  <r>
    <x v="399"/>
    <x v="161"/>
    <x v="396"/>
    <x v="281"/>
    <n v="53"/>
    <s v="Female"/>
    <s v="Delhi"/>
    <s v="Book"/>
    <s v="Education"/>
    <n v="1"/>
    <n v="15617.29"/>
    <n v="15617.29"/>
  </r>
  <r>
    <x v="400"/>
    <x v="154"/>
    <x v="397"/>
    <x v="282"/>
    <n v="37"/>
    <s v="Male"/>
    <s v="Patna"/>
    <s v="Shoes"/>
    <s v="Fashion"/>
    <n v="2"/>
    <n v="36062.36"/>
    <n v="72124.72"/>
  </r>
  <r>
    <x v="401"/>
    <x v="111"/>
    <x v="398"/>
    <x v="283"/>
    <n v="46"/>
    <s v="Male"/>
    <s v="Patna"/>
    <s v="Mobile"/>
    <s v="Electronics"/>
    <n v="2"/>
    <n v="24194.959999999999"/>
    <n v="48389.919999999998"/>
  </r>
  <r>
    <x v="402"/>
    <x v="236"/>
    <x v="399"/>
    <x v="150"/>
    <n v="48"/>
    <s v="Male"/>
    <s v="Mumbai"/>
    <s v="Shoes"/>
    <s v="Fashion"/>
    <n v="3"/>
    <n v="46253.94"/>
    <n v="138761.82"/>
  </r>
  <r>
    <x v="403"/>
    <x v="229"/>
    <x v="400"/>
    <x v="54"/>
    <n v="64"/>
    <s v="Female"/>
    <s v="Hyderabad"/>
    <s v="Chair"/>
    <s v="Furniture"/>
    <n v="1"/>
    <n v="22534.47"/>
    <n v="22534.47"/>
  </r>
  <r>
    <x v="404"/>
    <x v="173"/>
    <x v="401"/>
    <x v="100"/>
    <n v="64"/>
    <s v="Female"/>
    <s v="Bengaluru"/>
    <s v="Shoes"/>
    <s v="Fashion"/>
    <n v="5"/>
    <n v="23003.279999999999"/>
    <n v="115016.4"/>
  </r>
  <r>
    <x v="405"/>
    <x v="50"/>
    <x v="402"/>
    <x v="284"/>
    <n v="32"/>
    <s v="Female"/>
    <s v="Pune"/>
    <s v="Laptop"/>
    <s v="Electronics"/>
    <n v="5"/>
    <n v="6619.66"/>
    <n v="33098.300000000003"/>
  </r>
  <r>
    <x v="406"/>
    <x v="99"/>
    <x v="403"/>
    <x v="236"/>
    <n v="58"/>
    <s v="Male"/>
    <s v="Kolkata"/>
    <s v="Book"/>
    <s v="Education"/>
    <n v="4"/>
    <n v="7231.17"/>
    <n v="28924.68"/>
  </r>
  <r>
    <x v="407"/>
    <x v="153"/>
    <x v="404"/>
    <x v="285"/>
    <n v="24"/>
    <s v="Male"/>
    <s v="Patna"/>
    <s v="Book"/>
    <s v="Education"/>
    <n v="10"/>
    <n v="14441.39"/>
    <n v="144413.9"/>
  </r>
  <r>
    <x v="408"/>
    <x v="237"/>
    <x v="405"/>
    <x v="62"/>
    <n v="58"/>
    <s v="Male"/>
    <s v="Patna"/>
    <s v="Laptop"/>
    <s v="Electronics"/>
    <n v="4"/>
    <n v="39636.15"/>
    <n v="158544.6"/>
  </r>
  <r>
    <x v="409"/>
    <x v="156"/>
    <x v="406"/>
    <x v="118"/>
    <n v="33"/>
    <s v="Female"/>
    <s v="Patna"/>
    <s v="Shoes"/>
    <s v="Fashion"/>
    <n v="10"/>
    <n v="6633.6"/>
    <n v="66336"/>
  </r>
  <r>
    <x v="410"/>
    <x v="238"/>
    <x v="407"/>
    <x v="241"/>
    <n v="46"/>
    <s v="Female"/>
    <s v="Gaya"/>
    <s v="Mobile"/>
    <s v="Electronics"/>
    <n v="6"/>
    <n v="31722.52"/>
    <n v="190335.12"/>
  </r>
  <r>
    <x v="411"/>
    <x v="117"/>
    <x v="408"/>
    <x v="25"/>
    <n v="62"/>
    <s v="Female"/>
    <s v="Gaya"/>
    <s v="Rice"/>
    <s v="Grocery"/>
    <n v="3"/>
    <n v="24990.09"/>
    <n v="74970.27"/>
  </r>
  <r>
    <x v="412"/>
    <x v="108"/>
    <x v="409"/>
    <x v="135"/>
    <n v="56"/>
    <s v="Male"/>
    <s v="Bengaluru"/>
    <s v="Chair"/>
    <s v="Furniture"/>
    <n v="6"/>
    <n v="26716.59"/>
    <n v="160299.54"/>
  </r>
  <r>
    <x v="413"/>
    <x v="140"/>
    <x v="410"/>
    <x v="162"/>
    <n v="29"/>
    <s v="Female"/>
    <s v="Kolkata"/>
    <s v="Mobile"/>
    <s v="Electronics"/>
    <n v="8"/>
    <n v="28813.93"/>
    <n v="230511.44"/>
  </r>
  <r>
    <x v="414"/>
    <x v="72"/>
    <x v="411"/>
    <x v="158"/>
    <n v="52"/>
    <s v="Male"/>
    <s v="Bengaluru"/>
    <s v="Shoes"/>
    <s v="Fashion"/>
    <n v="2"/>
    <n v="2209.4299999999998"/>
    <n v="4418.8599999999997"/>
  </r>
  <r>
    <x v="415"/>
    <x v="239"/>
    <x v="412"/>
    <x v="286"/>
    <n v="51"/>
    <s v="Male"/>
    <s v="Delhi"/>
    <s v="Mobile"/>
    <s v="Electronics"/>
    <n v="2"/>
    <n v="572.39"/>
    <n v="1144.78"/>
  </r>
  <r>
    <x v="416"/>
    <x v="20"/>
    <x v="413"/>
    <x v="285"/>
    <n v="39"/>
    <s v="Male"/>
    <s v="Patna"/>
    <s v="Chair"/>
    <s v="Furniture"/>
    <n v="5"/>
    <n v="26522.29"/>
    <n v="132611.45000000001"/>
  </r>
  <r>
    <x v="417"/>
    <x v="152"/>
    <x v="414"/>
    <x v="128"/>
    <n v="24"/>
    <s v="Male"/>
    <s v="Hyderabad"/>
    <s v="Laptop"/>
    <s v="Electronics"/>
    <n v="2"/>
    <n v="25875.53"/>
    <n v="51751.06"/>
  </r>
  <r>
    <x v="418"/>
    <x v="240"/>
    <x v="415"/>
    <x v="287"/>
    <n v="58"/>
    <s v="Male"/>
    <s v="Gaya"/>
    <s v="Mobile"/>
    <s v="Electronics"/>
    <n v="9"/>
    <n v="37176.15"/>
    <n v="334585.34999999998"/>
  </r>
  <r>
    <x v="419"/>
    <x v="46"/>
    <x v="416"/>
    <x v="275"/>
    <n v="31"/>
    <s v="Female"/>
    <s v="Pune"/>
    <s v="Laptop"/>
    <s v="Electronics"/>
    <n v="10"/>
    <n v="315.67"/>
    <n v="3156.7"/>
  </r>
  <r>
    <x v="420"/>
    <x v="229"/>
    <x v="417"/>
    <x v="288"/>
    <n v="46"/>
    <s v="Male"/>
    <s v="Patna"/>
    <s v="Mobile"/>
    <s v="Electronics"/>
    <n v="1"/>
    <n v="30640.69"/>
    <n v="30640.69"/>
  </r>
  <r>
    <x v="421"/>
    <x v="141"/>
    <x v="418"/>
    <x v="289"/>
    <n v="65"/>
    <s v="Female"/>
    <s v="Gaya"/>
    <s v="Laptop"/>
    <s v="Electronics"/>
    <n v="8"/>
    <n v="23432.880000000001"/>
    <n v="187463.04000000001"/>
  </r>
  <r>
    <x v="422"/>
    <x v="38"/>
    <x v="419"/>
    <x v="290"/>
    <n v="32"/>
    <s v="Female"/>
    <s v="Gaya"/>
    <s v="Laptop"/>
    <s v="Electronics"/>
    <n v="3"/>
    <n v="29297.53"/>
    <n v="87892.59"/>
  </r>
  <r>
    <x v="423"/>
    <x v="241"/>
    <x v="420"/>
    <x v="175"/>
    <n v="19"/>
    <s v="Male"/>
    <s v="Delhi"/>
    <s v="Chair"/>
    <s v="Furniture"/>
    <n v="6"/>
    <n v="33928.269999999997"/>
    <n v="203569.62"/>
  </r>
  <r>
    <x v="424"/>
    <x v="242"/>
    <x v="421"/>
    <x v="291"/>
    <n v="49"/>
    <s v="Male"/>
    <s v="Hyderabad"/>
    <s v="Book"/>
    <s v="Education"/>
    <n v="6"/>
    <n v="13857.45"/>
    <n v="83144.7"/>
  </r>
  <r>
    <x v="425"/>
    <x v="76"/>
    <x v="422"/>
    <x v="157"/>
    <n v="21"/>
    <s v="Female"/>
    <s v="Mumbai"/>
    <s v="Laptop"/>
    <s v="Electronics"/>
    <n v="9"/>
    <n v="29804.26"/>
    <n v="268238.34000000003"/>
  </r>
  <r>
    <x v="426"/>
    <x v="243"/>
    <x v="423"/>
    <x v="18"/>
    <n v="28"/>
    <s v="Male"/>
    <s v="Delhi"/>
    <s v="Shoes"/>
    <s v="Fashion"/>
    <n v="9"/>
    <n v="12279.11"/>
    <n v="110511.99"/>
  </r>
  <r>
    <x v="427"/>
    <x v="167"/>
    <x v="424"/>
    <x v="292"/>
    <n v="28"/>
    <s v="Male"/>
    <s v="Delhi"/>
    <s v="Mobile"/>
    <s v="Electronics"/>
    <n v="6"/>
    <n v="5060.75"/>
    <n v="30364.5"/>
  </r>
  <r>
    <x v="428"/>
    <x v="43"/>
    <x v="425"/>
    <x v="32"/>
    <n v="45"/>
    <s v="Male"/>
    <s v="Kolkata"/>
    <s v="Laptop"/>
    <s v="Electronics"/>
    <n v="2"/>
    <n v="42427.93"/>
    <n v="84855.86"/>
  </r>
  <r>
    <x v="429"/>
    <x v="244"/>
    <x v="426"/>
    <x v="85"/>
    <n v="33"/>
    <s v="Male"/>
    <s v="Delhi"/>
    <s v="Mobile"/>
    <s v="Electronics"/>
    <n v="10"/>
    <n v="43997.22"/>
    <n v="439972.2"/>
  </r>
  <r>
    <x v="430"/>
    <x v="245"/>
    <x v="427"/>
    <x v="11"/>
    <n v="28"/>
    <s v="Male"/>
    <s v="Patna"/>
    <s v="Rice"/>
    <s v="Grocery"/>
    <n v="1"/>
    <n v="28812.06"/>
    <n v="28812.06"/>
  </r>
  <r>
    <x v="431"/>
    <x v="246"/>
    <x v="428"/>
    <x v="22"/>
    <n v="33"/>
    <s v="Female"/>
    <s v="Gaya"/>
    <s v="Mobile"/>
    <s v="Electronics"/>
    <n v="1"/>
    <n v="1229.02"/>
    <n v="1229.02"/>
  </r>
  <r>
    <x v="432"/>
    <x v="25"/>
    <x v="429"/>
    <x v="88"/>
    <n v="19"/>
    <s v="Male"/>
    <s v="Pune"/>
    <s v="Mobile"/>
    <s v="Electronics"/>
    <n v="3"/>
    <n v="29528.77"/>
    <n v="88586.31"/>
  </r>
  <r>
    <x v="433"/>
    <x v="107"/>
    <x v="430"/>
    <x v="240"/>
    <n v="43"/>
    <s v="Female"/>
    <s v="Mumbai"/>
    <s v="Chair"/>
    <s v="Furniture"/>
    <n v="9"/>
    <n v="24864.11"/>
    <n v="223776.99"/>
  </r>
  <r>
    <x v="434"/>
    <x v="247"/>
    <x v="431"/>
    <x v="122"/>
    <n v="34"/>
    <s v="Female"/>
    <s v="Bengaluru"/>
    <s v="Book"/>
    <s v="Education"/>
    <n v="8"/>
    <n v="11693.63"/>
    <n v="93549.04"/>
  </r>
  <r>
    <x v="435"/>
    <x v="248"/>
    <x v="422"/>
    <x v="23"/>
    <n v="49"/>
    <s v="Female"/>
    <s v="Gaya"/>
    <s v="Shoes"/>
    <s v="Fashion"/>
    <n v="2"/>
    <n v="5988.17"/>
    <n v="11976.34"/>
  </r>
  <r>
    <x v="436"/>
    <x v="87"/>
    <x v="432"/>
    <x v="125"/>
    <n v="30"/>
    <s v="Male"/>
    <s v="Pune"/>
    <s v="Mobile"/>
    <s v="Electronics"/>
    <n v="1"/>
    <n v="3839.04"/>
    <n v="3839.04"/>
  </r>
  <r>
    <x v="437"/>
    <x v="14"/>
    <x v="433"/>
    <x v="224"/>
    <n v="21"/>
    <s v="Male"/>
    <s v="Delhi"/>
    <s v="Chair"/>
    <s v="Furniture"/>
    <n v="5"/>
    <n v="3146.73"/>
    <n v="15733.65"/>
  </r>
  <r>
    <x v="438"/>
    <x v="17"/>
    <x v="434"/>
    <x v="178"/>
    <n v="22"/>
    <s v="Male"/>
    <s v="Mumbai"/>
    <s v="Chair"/>
    <s v="Furniture"/>
    <n v="7"/>
    <n v="33771.26"/>
    <n v="236398.82"/>
  </r>
  <r>
    <x v="439"/>
    <x v="220"/>
    <x v="410"/>
    <x v="0"/>
    <n v="47"/>
    <s v="Male"/>
    <s v="Delhi"/>
    <s v="Mobile"/>
    <s v="Electronics"/>
    <n v="3"/>
    <n v="28342.81"/>
    <n v="85028.43"/>
  </r>
  <r>
    <x v="440"/>
    <x v="249"/>
    <x v="435"/>
    <x v="141"/>
    <n v="34"/>
    <s v="Male"/>
    <s v="Kolkata"/>
    <s v="Mobile"/>
    <s v="Electronics"/>
    <n v="5"/>
    <n v="48457.94"/>
    <n v="242289.7"/>
  </r>
  <r>
    <x v="441"/>
    <x v="168"/>
    <x v="436"/>
    <x v="293"/>
    <n v="45"/>
    <s v="Male"/>
    <s v="Kolkata"/>
    <s v="Book"/>
    <s v="Education"/>
    <n v="2"/>
    <n v="41096.75"/>
    <n v="82193.5"/>
  </r>
  <r>
    <x v="442"/>
    <x v="229"/>
    <x v="437"/>
    <x v="294"/>
    <n v="49"/>
    <s v="Male"/>
    <s v="Gaya"/>
    <s v="Mobile"/>
    <s v="Electronics"/>
    <n v="9"/>
    <n v="19415.21"/>
    <n v="174736.89"/>
  </r>
  <r>
    <x v="443"/>
    <x v="122"/>
    <x v="438"/>
    <x v="295"/>
    <n v="45"/>
    <s v="Female"/>
    <s v="Gaya"/>
    <s v="Shoes"/>
    <s v="Fashion"/>
    <n v="4"/>
    <n v="8654.1299999999992"/>
    <n v="34616.519999999997"/>
  </r>
  <r>
    <x v="444"/>
    <x v="250"/>
    <x v="439"/>
    <x v="296"/>
    <n v="30"/>
    <s v="Female"/>
    <s v="Gaya"/>
    <s v="Laptop"/>
    <s v="Electronics"/>
    <n v="5"/>
    <n v="26337.15"/>
    <n v="131685.75"/>
  </r>
  <r>
    <x v="445"/>
    <x v="88"/>
    <x v="440"/>
    <x v="68"/>
    <m/>
    <s v="Female"/>
    <m/>
    <s v="Book"/>
    <s v="Education"/>
    <n v="10"/>
    <n v="43946.96"/>
    <n v="439469.6"/>
  </r>
  <r>
    <x v="446"/>
    <x v="229"/>
    <x v="328"/>
    <x v="27"/>
    <n v="27"/>
    <s v="Male"/>
    <s v="Patna"/>
    <s v="Chair"/>
    <s v="Furniture"/>
    <n v="8"/>
    <n v="30576"/>
    <n v="244608"/>
  </r>
  <r>
    <x v="447"/>
    <x v="87"/>
    <x v="441"/>
    <x v="297"/>
    <n v="27"/>
    <s v="Male"/>
    <s v="Gaya"/>
    <s v="Shoes"/>
    <s v="Fashion"/>
    <n v="7"/>
    <n v="32289.77"/>
    <n v="226028.39"/>
  </r>
  <r>
    <x v="448"/>
    <x v="14"/>
    <x v="442"/>
    <x v="13"/>
    <n v="39"/>
    <s v="Female"/>
    <s v="Pune"/>
    <s v="Shoes"/>
    <s v="Fashion"/>
    <n v="2"/>
    <n v="18153.87"/>
    <n v="36307.74"/>
  </r>
  <r>
    <x v="449"/>
    <x v="251"/>
    <x v="208"/>
    <x v="122"/>
    <n v="57"/>
    <s v="Female"/>
    <s v="Delhi"/>
    <s v="Laptop"/>
    <s v="Electronics"/>
    <n v="1"/>
    <n v="5815.69"/>
    <n v="5815.69"/>
  </r>
  <r>
    <x v="450"/>
    <x v="26"/>
    <x v="443"/>
    <x v="153"/>
    <n v="21"/>
    <s v="Female"/>
    <s v="Mumbai"/>
    <s v="Chair"/>
    <s v="Furniture"/>
    <n v="1"/>
    <n v="47927.360000000001"/>
    <n v="47927.360000000001"/>
  </r>
  <r>
    <x v="451"/>
    <x v="8"/>
    <x v="444"/>
    <x v="249"/>
    <n v="46"/>
    <s v="Male"/>
    <s v="Pune"/>
    <s v="Laptop"/>
    <s v="Electronics"/>
    <n v="8"/>
    <n v="30816.21"/>
    <n v="246529.68"/>
  </r>
  <r>
    <x v="452"/>
    <x v="252"/>
    <x v="445"/>
    <x v="298"/>
    <n v="45"/>
    <s v="Female"/>
    <s v="Bengaluru"/>
    <s v="Chair"/>
    <s v="Furniture"/>
    <n v="2"/>
    <n v="45809.09"/>
    <n v="91618.18"/>
  </r>
  <r>
    <x v="453"/>
    <x v="18"/>
    <x v="446"/>
    <x v="299"/>
    <n v="22"/>
    <s v="Male"/>
    <s v="Hyderabad"/>
    <s v="Chair"/>
    <s v="Furniture"/>
    <n v="10"/>
    <n v="7127.33"/>
    <n v="71273.3"/>
  </r>
  <r>
    <x v="454"/>
    <x v="83"/>
    <x v="447"/>
    <x v="127"/>
    <n v="38"/>
    <s v="Female"/>
    <s v="Delhi"/>
    <s v="Book"/>
    <s v="Education"/>
    <n v="9"/>
    <n v="41434.83"/>
    <n v="372913.47"/>
  </r>
  <r>
    <x v="455"/>
    <x v="253"/>
    <x v="448"/>
    <x v="257"/>
    <n v="50"/>
    <s v="Female"/>
    <s v="Delhi"/>
    <s v="Book"/>
    <s v="Education"/>
    <n v="4"/>
    <n v="36242.410000000003"/>
    <n v="144969.64000000001"/>
  </r>
  <r>
    <x v="456"/>
    <x v="99"/>
    <x v="449"/>
    <x v="300"/>
    <n v="48"/>
    <s v="Female"/>
    <s v="Pune"/>
    <s v="Book"/>
    <s v="Education"/>
    <n v="10"/>
    <n v="13908.48"/>
    <n v="139084.79999999999"/>
  </r>
  <r>
    <x v="457"/>
    <x v="254"/>
    <x v="450"/>
    <x v="214"/>
    <n v="38"/>
    <s v="Female"/>
    <s v="Kolkata"/>
    <s v="Laptop"/>
    <s v="Electronics"/>
    <n v="1"/>
    <n v="9009.36"/>
    <n v="9009.36"/>
  </r>
  <r>
    <x v="458"/>
    <x v="255"/>
    <x v="451"/>
    <x v="108"/>
    <n v="43"/>
    <s v="Female"/>
    <s v="Delhi"/>
    <s v="Shoes"/>
    <s v="Fashion"/>
    <n v="6"/>
    <n v="36021.08"/>
    <n v="216126.48"/>
  </r>
  <r>
    <x v="459"/>
    <x v="119"/>
    <x v="452"/>
    <x v="100"/>
    <n v="46"/>
    <s v="Female"/>
    <s v="Hyderabad"/>
    <s v="Book"/>
    <s v="Education"/>
    <n v="10"/>
    <n v="44045.66"/>
    <n v="440456.6"/>
  </r>
  <r>
    <x v="460"/>
    <x v="256"/>
    <x v="453"/>
    <x v="301"/>
    <n v="65"/>
    <s v="Female"/>
    <s v="Patna"/>
    <s v="Book"/>
    <s v="Education"/>
    <n v="3"/>
    <n v="41596.85"/>
    <n v="124790.55"/>
  </r>
  <r>
    <x v="461"/>
    <x v="65"/>
    <x v="454"/>
    <x v="77"/>
    <n v="30"/>
    <s v="Male"/>
    <s v="Kolkata"/>
    <s v="Book"/>
    <s v="Education"/>
    <n v="9"/>
    <n v="21020.37"/>
    <n v="189183.33"/>
  </r>
  <r>
    <x v="462"/>
    <x v="207"/>
    <x v="455"/>
    <x v="302"/>
    <n v="55"/>
    <s v="Female"/>
    <s v="Kolkata"/>
    <s v="Book"/>
    <s v="Education"/>
    <n v="6"/>
    <n v="28483.33"/>
    <n v="170899.98"/>
  </r>
  <r>
    <x v="463"/>
    <x v="152"/>
    <x v="456"/>
    <x v="76"/>
    <n v="20"/>
    <s v="Female"/>
    <s v="Patna"/>
    <s v="Book"/>
    <s v="Education"/>
    <n v="8"/>
    <n v="22060.38"/>
    <n v="176483.04"/>
  </r>
  <r>
    <x v="464"/>
    <x v="257"/>
    <x v="457"/>
    <x v="303"/>
    <n v="30"/>
    <s v="Male"/>
    <s v="Delhi"/>
    <s v="Mobile"/>
    <s v="Electronics"/>
    <n v="9"/>
    <n v="17074.46"/>
    <n v="153670.14000000001"/>
  </r>
  <r>
    <x v="465"/>
    <x v="9"/>
    <x v="458"/>
    <x v="304"/>
    <n v="51"/>
    <s v="Male"/>
    <s v="Gaya"/>
    <s v="Shoes"/>
    <s v="Fashion"/>
    <n v="6"/>
    <n v="7136.1"/>
    <n v="42816.6"/>
  </r>
  <r>
    <x v="466"/>
    <x v="198"/>
    <x v="459"/>
    <x v="224"/>
    <n v="56"/>
    <s v="Male"/>
    <s v="Delhi"/>
    <s v="Rice"/>
    <s v="Grocery"/>
    <n v="4"/>
    <n v="33964.14"/>
    <n v="135856.56"/>
  </r>
  <r>
    <x v="467"/>
    <x v="258"/>
    <x v="460"/>
    <x v="305"/>
    <n v="62"/>
    <s v="Female"/>
    <s v="Bengaluru"/>
    <s v="Chair"/>
    <s v="Furniture"/>
    <n v="7"/>
    <n v="46331.16"/>
    <n v="324318.12"/>
  </r>
  <r>
    <x v="468"/>
    <x v="168"/>
    <x v="270"/>
    <x v="160"/>
    <n v="21"/>
    <s v="Male"/>
    <s v="Mumbai"/>
    <s v="Rice"/>
    <s v="Grocery"/>
    <n v="10"/>
    <n v="27530.02"/>
    <n v="275300.2"/>
  </r>
  <r>
    <x v="469"/>
    <x v="259"/>
    <x v="461"/>
    <x v="306"/>
    <n v="57"/>
    <s v="Female"/>
    <s v="Mumbai"/>
    <s v="Laptop"/>
    <s v="Electronics"/>
    <n v="2"/>
    <n v="24291.74"/>
    <n v="48583.48"/>
  </r>
  <r>
    <x v="470"/>
    <x v="17"/>
    <x v="462"/>
    <x v="307"/>
    <n v="63"/>
    <s v="Male"/>
    <s v="Pune"/>
    <s v="Laptop"/>
    <s v="Electronics"/>
    <n v="5"/>
    <n v="13257.79"/>
    <n v="66288.95"/>
  </r>
  <r>
    <x v="471"/>
    <x v="260"/>
    <x v="463"/>
    <x v="9"/>
    <n v="48"/>
    <s v="Male"/>
    <s v="Gaya"/>
    <s v="Shoes"/>
    <s v="Fashion"/>
    <n v="10"/>
    <n v="16360.67"/>
    <n v="163606.70000000001"/>
  </r>
  <r>
    <x v="472"/>
    <x v="207"/>
    <x v="464"/>
    <x v="308"/>
    <n v="22"/>
    <s v="Female"/>
    <s v="Patna"/>
    <s v="Laptop"/>
    <s v="Electronics"/>
    <n v="6"/>
    <n v="40480.730000000003"/>
    <n v="242884.38"/>
  </r>
  <r>
    <x v="473"/>
    <x v="261"/>
    <x v="465"/>
    <x v="309"/>
    <n v="46"/>
    <s v="Male"/>
    <s v="Mumbai"/>
    <s v="Chair"/>
    <s v="Furniture"/>
    <n v="2"/>
    <n v="747.57"/>
    <n v="1495.14"/>
  </r>
  <r>
    <x v="474"/>
    <x v="260"/>
    <x v="466"/>
    <x v="243"/>
    <n v="30"/>
    <s v="Male"/>
    <s v="Hyderabad"/>
    <s v="Laptop"/>
    <s v="Electronics"/>
    <n v="2"/>
    <n v="35420.46"/>
    <n v="70840.92"/>
  </r>
  <r>
    <x v="48"/>
    <x v="233"/>
    <x v="467"/>
    <x v="143"/>
    <n v="64"/>
    <s v="Male"/>
    <s v="Bengaluru"/>
    <s v="Rice"/>
    <s v="Grocery"/>
    <n v="8"/>
    <n v="38957.589999999997"/>
    <n v="311660.71999999997"/>
  </r>
  <r>
    <x v="475"/>
    <x v="206"/>
    <x v="468"/>
    <x v="211"/>
    <n v="47"/>
    <s v="Female"/>
    <s v="Bengaluru"/>
    <s v="Chair"/>
    <s v="Furniture"/>
    <n v="3"/>
    <n v="2762.18"/>
    <n v="8286.5400000000009"/>
  </r>
  <r>
    <x v="476"/>
    <x v="131"/>
    <x v="469"/>
    <x v="310"/>
    <n v="56"/>
    <s v="Male"/>
    <s v="Kolkata"/>
    <s v="Laptop"/>
    <s v="Electronics"/>
    <n v="2"/>
    <n v="33800.83"/>
    <n v="67601.66"/>
  </r>
  <r>
    <x v="477"/>
    <x v="127"/>
    <x v="470"/>
    <x v="311"/>
    <n v="52"/>
    <s v="Male"/>
    <s v="Kolkata"/>
    <s v="Laptop"/>
    <s v="Electronics"/>
    <n v="4"/>
    <n v="4113.3999999999996"/>
    <n v="16453.599999999999"/>
  </r>
  <r>
    <x v="478"/>
    <x v="62"/>
    <x v="471"/>
    <x v="312"/>
    <n v="28"/>
    <s v="Male"/>
    <s v="Hyderabad"/>
    <s v="Chair"/>
    <s v="Furniture"/>
    <n v="10"/>
    <n v="24297.48"/>
    <n v="242974.8"/>
  </r>
  <r>
    <x v="479"/>
    <x v="262"/>
    <x v="472"/>
    <x v="19"/>
    <n v="39"/>
    <s v="Male"/>
    <s v="Gaya"/>
    <s v="Book"/>
    <s v="Education"/>
    <n v="9"/>
    <n v="5037.6000000000004"/>
    <n v="45338.400000000001"/>
  </r>
  <r>
    <x v="480"/>
    <x v="263"/>
    <x v="473"/>
    <x v="175"/>
    <n v="26"/>
    <s v="Female"/>
    <s v="Patna"/>
    <s v="Mobile"/>
    <s v="Electronics"/>
    <n v="8"/>
    <n v="34803.410000000003"/>
    <n v="278427.28000000003"/>
  </r>
  <r>
    <x v="481"/>
    <x v="77"/>
    <x v="474"/>
    <x v="313"/>
    <n v="27"/>
    <s v="Male"/>
    <s v="Patna"/>
    <s v="Shoes"/>
    <s v="Fashion"/>
    <n v="9"/>
    <n v="9123.43"/>
    <n v="82110.87"/>
  </r>
  <r>
    <x v="482"/>
    <x v="235"/>
    <x v="475"/>
    <x v="144"/>
    <n v="53"/>
    <s v="Female"/>
    <s v="Gaya"/>
    <s v="Chair"/>
    <s v="Furniture"/>
    <n v="6"/>
    <n v="6567.81"/>
    <n v="39406.86"/>
  </r>
  <r>
    <x v="483"/>
    <x v="77"/>
    <x v="476"/>
    <x v="314"/>
    <n v="41"/>
    <s v="Female"/>
    <s v="Kolkata"/>
    <s v="Mobile"/>
    <s v="Electronics"/>
    <n v="9"/>
    <n v="27766.560000000001"/>
    <n v="249899.04"/>
  </r>
  <r>
    <x v="484"/>
    <x v="8"/>
    <x v="477"/>
    <x v="221"/>
    <n v="41"/>
    <s v="Female"/>
    <s v="Hyderabad"/>
    <s v="Rice"/>
    <s v="Grocery"/>
    <n v="5"/>
    <n v="33535.53"/>
    <n v="167677.65"/>
  </r>
  <r>
    <x v="485"/>
    <x v="183"/>
    <x v="478"/>
    <x v="153"/>
    <n v="29"/>
    <s v="Male"/>
    <s v="Hyderabad"/>
    <s v="Shoes"/>
    <s v="Fashion"/>
    <n v="9"/>
    <n v="48011.48"/>
    <n v="432103.32"/>
  </r>
  <r>
    <x v="486"/>
    <x v="111"/>
    <x v="479"/>
    <x v="163"/>
    <n v="52"/>
    <s v="Male"/>
    <s v="Delhi"/>
    <s v="Book"/>
    <s v="Education"/>
    <n v="9"/>
    <n v="21084.400000000001"/>
    <n v="189759.6"/>
  </r>
  <r>
    <x v="487"/>
    <x v="191"/>
    <x v="480"/>
    <x v="19"/>
    <n v="63"/>
    <s v="Male"/>
    <s v="Gaya"/>
    <s v="Book"/>
    <s v="Education"/>
    <n v="3"/>
    <n v="37002.06"/>
    <n v="111006.18"/>
  </r>
  <r>
    <x v="488"/>
    <x v="264"/>
    <x v="481"/>
    <x v="49"/>
    <n v="47"/>
    <s v="Male"/>
    <s v="Delhi"/>
    <s v="Laptop"/>
    <s v="Electronics"/>
    <n v="3"/>
    <n v="33382.46"/>
    <n v="100147.38"/>
  </r>
  <r>
    <x v="489"/>
    <x v="199"/>
    <x v="482"/>
    <x v="175"/>
    <n v="26"/>
    <s v="Female"/>
    <s v="Gaya"/>
    <s v="Shoes"/>
    <s v="Fashion"/>
    <n v="5"/>
    <n v="16321.45"/>
    <n v="81607.25"/>
  </r>
  <r>
    <x v="490"/>
    <x v="264"/>
    <x v="483"/>
    <x v="127"/>
    <n v="55"/>
    <s v="Male"/>
    <s v="Gaya"/>
    <s v="Chair"/>
    <s v="Furniture"/>
    <n v="1"/>
    <n v="767.61"/>
    <n v="767.61"/>
  </r>
  <r>
    <x v="491"/>
    <x v="162"/>
    <x v="484"/>
    <x v="315"/>
    <n v="51"/>
    <s v="Male"/>
    <s v="Kolkata"/>
    <s v="Rice"/>
    <s v="Grocery"/>
    <n v="8"/>
    <n v="18862.36"/>
    <n v="150898.88"/>
  </r>
  <r>
    <x v="492"/>
    <x v="5"/>
    <x v="485"/>
    <x v="254"/>
    <n v="45"/>
    <s v="Female"/>
    <s v="Patna"/>
    <s v="Chair"/>
    <s v="Furniture"/>
    <n v="2"/>
    <n v="47693.33"/>
    <n v="95386.66"/>
  </r>
  <r>
    <x v="493"/>
    <x v="77"/>
    <x v="486"/>
    <x v="158"/>
    <n v="44"/>
    <s v="Female"/>
    <s v="Delhi"/>
    <s v="Mobile"/>
    <s v="Electronics"/>
    <n v="3"/>
    <n v="33234.99"/>
    <n v="99704.97"/>
  </r>
  <r>
    <x v="494"/>
    <x v="123"/>
    <x v="487"/>
    <x v="143"/>
    <m/>
    <s v="Male"/>
    <s v="Kolkata"/>
    <s v="Chair"/>
    <s v="Furniture"/>
    <n v="9"/>
    <n v="7268.14"/>
    <n v="65413.26"/>
  </r>
  <r>
    <x v="495"/>
    <x v="179"/>
    <x v="488"/>
    <x v="274"/>
    <n v="30"/>
    <s v="Female"/>
    <s v="Mumbai"/>
    <s v="Mobile"/>
    <s v="Electronics"/>
    <n v="10"/>
    <n v="10702.89"/>
    <n v="107028.9"/>
  </r>
  <r>
    <x v="496"/>
    <x v="52"/>
    <x v="489"/>
    <x v="210"/>
    <n v="52"/>
    <s v="Female"/>
    <s v="Delhi"/>
    <s v="Book"/>
    <s v="Education"/>
    <n v="2"/>
    <n v="13323.8"/>
    <n v="26647.599999999999"/>
  </r>
  <r>
    <x v="497"/>
    <x v="221"/>
    <x v="490"/>
    <x v="225"/>
    <n v="31"/>
    <s v="Female"/>
    <s v="Hyderabad"/>
    <s v="Laptop"/>
    <s v="Electronics"/>
    <n v="4"/>
    <n v="27565.01"/>
    <n v="110260.04"/>
  </r>
  <r>
    <x v="498"/>
    <x v="57"/>
    <x v="491"/>
    <x v="238"/>
    <n v="52"/>
    <s v="Male"/>
    <s v="Pune"/>
    <s v="Mobile"/>
    <s v="Electronics"/>
    <n v="1"/>
    <n v="40225.629999999997"/>
    <n v="40225.629999999997"/>
  </r>
  <r>
    <x v="499"/>
    <x v="188"/>
    <x v="492"/>
    <x v="229"/>
    <n v="61"/>
    <s v="Female"/>
    <s v="Hyderabad"/>
    <s v="Chair"/>
    <s v="Furniture"/>
    <n v="1"/>
    <n v="12494.97"/>
    <n v="12494.97"/>
  </r>
  <r>
    <x v="500"/>
    <x v="265"/>
    <x v="493"/>
    <x v="316"/>
    <n v="32"/>
    <s v="Male"/>
    <s v="Gaya"/>
    <s v="Rice"/>
    <s v="Grocery"/>
    <n v="3"/>
    <n v="40440.720000000001"/>
    <n v="121322.16"/>
  </r>
  <r>
    <x v="501"/>
    <x v="266"/>
    <x v="494"/>
    <x v="317"/>
    <n v="44"/>
    <s v="Male"/>
    <s v="Kolkata"/>
    <s v="Laptop"/>
    <s v="Electronics"/>
    <n v="10"/>
    <n v="25386.400000000001"/>
    <n v="253864"/>
  </r>
  <r>
    <x v="502"/>
    <x v="32"/>
    <x v="495"/>
    <x v="287"/>
    <n v="47"/>
    <s v="Female"/>
    <s v="Mumbai"/>
    <s v="Laptop"/>
    <s v="Electronics"/>
    <n v="3"/>
    <n v="7991.06"/>
    <n v="23973.18"/>
  </r>
  <r>
    <x v="503"/>
    <x v="65"/>
    <x v="496"/>
    <x v="310"/>
    <n v="44"/>
    <s v="Female"/>
    <s v="Kolkata"/>
    <s v="Mobile"/>
    <s v="Electronics"/>
    <n v="9"/>
    <n v="41886.870000000003"/>
    <n v="376981.83"/>
  </r>
  <r>
    <x v="504"/>
    <x v="37"/>
    <x v="497"/>
    <x v="287"/>
    <n v="58"/>
    <s v="Female"/>
    <s v="Mumbai"/>
    <s v="Laptop"/>
    <s v="Electronics"/>
    <n v="10"/>
    <n v="7062.57"/>
    <n v="70625.7"/>
  </r>
  <r>
    <x v="505"/>
    <x v="29"/>
    <x v="498"/>
    <x v="112"/>
    <n v="27"/>
    <s v="Female"/>
    <s v="Delhi"/>
    <s v="Book"/>
    <s v="Education"/>
    <n v="10"/>
    <n v="8028.98"/>
    <n v="80289.8"/>
  </r>
  <r>
    <x v="506"/>
    <x v="80"/>
    <x v="499"/>
    <x v="6"/>
    <n v="24"/>
    <s v="Female"/>
    <s v="Mumbai"/>
    <s v="Chair"/>
    <s v="Furniture"/>
    <n v="7"/>
    <n v="49735.32"/>
    <n v="348147.24"/>
  </r>
  <r>
    <x v="507"/>
    <x v="76"/>
    <x v="500"/>
    <x v="318"/>
    <n v="50"/>
    <s v="Female"/>
    <s v="Mumbai"/>
    <s v="Shoes"/>
    <s v="Fashion"/>
    <n v="4"/>
    <n v="25461.32"/>
    <n v="101845.28"/>
  </r>
  <r>
    <x v="508"/>
    <x v="28"/>
    <x v="501"/>
    <x v="319"/>
    <n v="30"/>
    <s v="Male"/>
    <s v="Bengaluru"/>
    <s v="Laptop"/>
    <s v="Electronics"/>
    <n v="1"/>
    <n v="30210.720000000001"/>
    <n v="30210.720000000001"/>
  </r>
  <r>
    <x v="509"/>
    <x v="169"/>
    <x v="502"/>
    <x v="85"/>
    <n v="41"/>
    <s v="Male"/>
    <s v="Delhi"/>
    <s v="Mobile"/>
    <s v="Electronics"/>
    <n v="6"/>
    <n v="42150.74"/>
    <n v="252904.44"/>
  </r>
  <r>
    <x v="510"/>
    <x v="239"/>
    <x v="503"/>
    <x v="320"/>
    <n v="37"/>
    <s v="Female"/>
    <s v="Delhi"/>
    <s v="Mobile"/>
    <s v="Electronics"/>
    <n v="1"/>
    <n v="16249.69"/>
    <n v="16249.69"/>
  </r>
  <r>
    <x v="511"/>
    <x v="193"/>
    <x v="504"/>
    <x v="321"/>
    <n v="34"/>
    <s v="Male"/>
    <s v="Mumbai"/>
    <s v="Shoes"/>
    <s v="Fashion"/>
    <n v="6"/>
    <n v="16403.009999999998"/>
    <n v="98418.06"/>
  </r>
  <r>
    <x v="512"/>
    <x v="153"/>
    <x v="505"/>
    <x v="234"/>
    <n v="35"/>
    <s v="Female"/>
    <s v="Kolkata"/>
    <s v="Laptop"/>
    <s v="Electronics"/>
    <n v="7"/>
    <n v="19933.439999999999"/>
    <n v="139534.07999999999"/>
  </r>
  <r>
    <x v="513"/>
    <x v="91"/>
    <x v="506"/>
    <x v="86"/>
    <n v="65"/>
    <s v="Female"/>
    <s v="Patna"/>
    <s v="Rice"/>
    <s v="Grocery"/>
    <n v="3"/>
    <n v="48879.87"/>
    <n v="146639.60999999999"/>
  </r>
  <r>
    <x v="514"/>
    <x v="155"/>
    <x v="507"/>
    <x v="322"/>
    <n v="31"/>
    <s v="Female"/>
    <s v="Hyderabad"/>
    <s v="Chair"/>
    <s v="Furniture"/>
    <n v="2"/>
    <n v="32458.06"/>
    <n v="64916.12"/>
  </r>
  <r>
    <x v="515"/>
    <x v="195"/>
    <x v="508"/>
    <x v="63"/>
    <n v="47"/>
    <s v="Male"/>
    <s v="Hyderabad"/>
    <s v="Rice"/>
    <s v="Grocery"/>
    <n v="9"/>
    <n v="32104.55"/>
    <n v="288940.95"/>
  </r>
  <r>
    <x v="516"/>
    <x v="12"/>
    <x v="509"/>
    <x v="323"/>
    <n v="37"/>
    <s v="Male"/>
    <s v="Gaya"/>
    <s v="Laptop"/>
    <s v="Electronics"/>
    <n v="3"/>
    <n v="35318.199999999997"/>
    <n v="105954.6"/>
  </r>
  <r>
    <x v="517"/>
    <x v="267"/>
    <x v="510"/>
    <x v="242"/>
    <n v="62"/>
    <s v="Male"/>
    <s v="Gaya"/>
    <s v="Mobile"/>
    <s v="Electronics"/>
    <n v="1"/>
    <n v="47870.04"/>
    <n v="47870.04"/>
  </r>
  <r>
    <x v="518"/>
    <x v="109"/>
    <x v="511"/>
    <x v="118"/>
    <n v="39"/>
    <s v="Female"/>
    <s v="Bengaluru"/>
    <s v="Shoes"/>
    <s v="Fashion"/>
    <n v="1"/>
    <n v="47848"/>
    <n v="47848"/>
  </r>
  <r>
    <x v="519"/>
    <x v="5"/>
    <x v="512"/>
    <x v="249"/>
    <n v="45"/>
    <s v="Female"/>
    <m/>
    <s v="Shoes"/>
    <s v="Fashion"/>
    <n v="7"/>
    <n v="751.97"/>
    <n v="5263.79"/>
  </r>
  <r>
    <x v="520"/>
    <x v="241"/>
    <x v="513"/>
    <x v="133"/>
    <n v="54"/>
    <s v="Male"/>
    <s v="Mumbai"/>
    <s v="Mobile"/>
    <s v="Electronics"/>
    <n v="2"/>
    <n v="22666.98"/>
    <n v="45333.96"/>
  </r>
  <r>
    <x v="521"/>
    <x v="100"/>
    <x v="514"/>
    <x v="324"/>
    <n v="22"/>
    <s v="Female"/>
    <s v="Patna"/>
    <s v="Mobile"/>
    <s v="Electronics"/>
    <n v="8"/>
    <n v="12225.23"/>
    <n v="97801.84"/>
  </r>
  <r>
    <x v="522"/>
    <x v="203"/>
    <x v="515"/>
    <x v="325"/>
    <n v="41"/>
    <s v="Female"/>
    <s v="Pune"/>
    <s v="Rice"/>
    <s v="Grocery"/>
    <n v="7"/>
    <n v="17760.62"/>
    <n v="124324.34"/>
  </r>
  <r>
    <x v="523"/>
    <x v="146"/>
    <x v="516"/>
    <x v="180"/>
    <n v="26"/>
    <s v="Male"/>
    <s v="Mumbai"/>
    <s v="Book"/>
    <s v="Education"/>
    <n v="6"/>
    <n v="8151.02"/>
    <n v="48906.12"/>
  </r>
  <r>
    <x v="524"/>
    <x v="214"/>
    <x v="517"/>
    <x v="326"/>
    <n v="42"/>
    <s v="Male"/>
    <s v="Gaya"/>
    <s v="Shoes"/>
    <s v="Fashion"/>
    <n v="9"/>
    <n v="12514.53"/>
    <n v="112630.77"/>
  </r>
  <r>
    <x v="525"/>
    <x v="268"/>
    <x v="518"/>
    <x v="176"/>
    <n v="65"/>
    <s v="Male"/>
    <s v="Gaya"/>
    <s v="Rice"/>
    <s v="Grocery"/>
    <n v="1"/>
    <n v="40250.629999999997"/>
    <n v="40250.629999999997"/>
  </r>
  <r>
    <x v="526"/>
    <x v="128"/>
    <x v="519"/>
    <x v="41"/>
    <n v="45"/>
    <s v="Male"/>
    <s v="Delhi"/>
    <s v="Book"/>
    <s v="Education"/>
    <n v="3"/>
    <n v="48031.9"/>
    <n v="144095.70000000001"/>
  </r>
  <r>
    <x v="527"/>
    <x v="49"/>
    <x v="520"/>
    <x v="65"/>
    <n v="18"/>
    <s v="Female"/>
    <s v="Patna"/>
    <s v="Rice"/>
    <s v="Grocery"/>
    <n v="8"/>
    <n v="45296.32"/>
    <n v="362370.56"/>
  </r>
  <r>
    <x v="528"/>
    <x v="216"/>
    <x v="521"/>
    <x v="157"/>
    <n v="35"/>
    <s v="Female"/>
    <s v="Mumbai"/>
    <s v="Mobile"/>
    <s v="Electronics"/>
    <n v="5"/>
    <n v="25036.53"/>
    <n v="125182.65"/>
  </r>
  <r>
    <x v="529"/>
    <x v="154"/>
    <x v="522"/>
    <x v="169"/>
    <n v="22"/>
    <s v="Female"/>
    <s v="Delhi"/>
    <s v="Rice"/>
    <s v="Grocery"/>
    <n v="5"/>
    <n v="21466.01"/>
    <n v="107330.05"/>
  </r>
  <r>
    <x v="530"/>
    <x v="269"/>
    <x v="523"/>
    <x v="174"/>
    <n v="57"/>
    <s v="Female"/>
    <s v="Bengaluru"/>
    <s v="Rice"/>
    <s v="Grocery"/>
    <n v="2"/>
    <n v="28506.81"/>
    <n v="57013.62"/>
  </r>
  <r>
    <x v="531"/>
    <x v="61"/>
    <x v="381"/>
    <x v="83"/>
    <n v="37"/>
    <s v="Female"/>
    <s v="Mumbai"/>
    <s v="Chair"/>
    <s v="Furniture"/>
    <n v="6"/>
    <n v="30698.79"/>
    <n v="184192.74"/>
  </r>
  <r>
    <x v="532"/>
    <x v="28"/>
    <x v="524"/>
    <x v="327"/>
    <n v="56"/>
    <s v="Female"/>
    <s v="Pune"/>
    <s v="Laptop"/>
    <s v="Electronics"/>
    <n v="6"/>
    <n v="3230.47"/>
    <n v="19382.82"/>
  </r>
  <r>
    <x v="533"/>
    <x v="194"/>
    <x v="525"/>
    <x v="328"/>
    <n v="28"/>
    <s v="Male"/>
    <s v="Gaya"/>
    <s v="Rice"/>
    <s v="Grocery"/>
    <n v="6"/>
    <n v="13606.65"/>
    <n v="81639.899999999994"/>
  </r>
  <r>
    <x v="534"/>
    <x v="225"/>
    <x v="526"/>
    <x v="329"/>
    <n v="28"/>
    <s v="Male"/>
    <s v="Mumbai"/>
    <s v="Rice"/>
    <s v="Grocery"/>
    <n v="6"/>
    <n v="9146.39"/>
    <n v="54878.34"/>
  </r>
  <r>
    <x v="535"/>
    <x v="270"/>
    <x v="527"/>
    <x v="168"/>
    <n v="20"/>
    <s v="Male"/>
    <s v="Gaya"/>
    <s v="Rice"/>
    <s v="Grocery"/>
    <n v="9"/>
    <n v="26764.87"/>
    <n v="240883.83"/>
  </r>
  <r>
    <x v="536"/>
    <x v="271"/>
    <x v="3"/>
    <x v="330"/>
    <n v="26"/>
    <s v="Female"/>
    <s v="Patna"/>
    <s v="Shoes"/>
    <s v="Fashion"/>
    <n v="7"/>
    <n v="6887.98"/>
    <n v="48215.86"/>
  </r>
  <r>
    <x v="537"/>
    <x v="117"/>
    <x v="528"/>
    <x v="331"/>
    <n v="27"/>
    <s v="Male"/>
    <s v="Patna"/>
    <s v="Rice"/>
    <s v="Grocery"/>
    <n v="6"/>
    <n v="49889.13"/>
    <n v="299334.78000000003"/>
  </r>
  <r>
    <x v="538"/>
    <x v="7"/>
    <x v="529"/>
    <x v="242"/>
    <n v="33"/>
    <s v="Male"/>
    <s v="Gaya"/>
    <s v="Laptop"/>
    <s v="Electronics"/>
    <n v="4"/>
    <n v="39050.879999999997"/>
    <n v="156203.51999999999"/>
  </r>
  <r>
    <x v="539"/>
    <x v="85"/>
    <x v="530"/>
    <x v="332"/>
    <n v="20"/>
    <s v="Male"/>
    <s v="Pune"/>
    <s v="Rice"/>
    <s v="Grocery"/>
    <n v="1"/>
    <n v="14634.25"/>
    <n v="14634.25"/>
  </r>
  <r>
    <x v="540"/>
    <x v="151"/>
    <x v="531"/>
    <x v="245"/>
    <n v="31"/>
    <s v="Male"/>
    <s v="Mumbai"/>
    <s v="Mobile"/>
    <s v="Electronics"/>
    <n v="7"/>
    <n v="33006.89"/>
    <n v="231048.23"/>
  </r>
  <r>
    <x v="541"/>
    <x v="262"/>
    <x v="532"/>
    <x v="333"/>
    <n v="38"/>
    <s v="Male"/>
    <s v="Patna"/>
    <s v="Laptop"/>
    <s v="Electronics"/>
    <n v="9"/>
    <n v="46663.92"/>
    <n v="419975.28"/>
  </r>
  <r>
    <x v="542"/>
    <x v="272"/>
    <x v="518"/>
    <x v="225"/>
    <n v="37"/>
    <s v="Female"/>
    <s v="Pune"/>
    <s v="Shoes"/>
    <s v="Fashion"/>
    <n v="9"/>
    <n v="3626.27"/>
    <n v="32636.43"/>
  </r>
  <r>
    <x v="543"/>
    <x v="38"/>
    <x v="533"/>
    <x v="334"/>
    <n v="64"/>
    <s v="Male"/>
    <s v="Hyderabad"/>
    <s v="Book"/>
    <s v="Education"/>
    <n v="8"/>
    <n v="13184.14"/>
    <n v="105473.12"/>
  </r>
  <r>
    <x v="544"/>
    <x v="100"/>
    <x v="534"/>
    <x v="335"/>
    <m/>
    <s v="Male"/>
    <s v="Pune"/>
    <s v="Rice"/>
    <s v="Grocery"/>
    <n v="5"/>
    <n v="41509.54"/>
    <n v="207547.7"/>
  </r>
  <r>
    <x v="545"/>
    <x v="58"/>
    <x v="535"/>
    <x v="336"/>
    <n v="37"/>
    <s v="Male"/>
    <s v="Bengaluru"/>
    <s v="Laptop"/>
    <s v="Electronics"/>
    <n v="2"/>
    <n v="27044.74"/>
    <n v="54089.48"/>
  </r>
  <r>
    <x v="546"/>
    <x v="49"/>
    <x v="536"/>
    <x v="337"/>
    <n v="60"/>
    <s v="Male"/>
    <s v="Kolkata"/>
    <s v="Book"/>
    <s v="Education"/>
    <n v="2"/>
    <n v="35113.980000000003"/>
    <n v="70227.960000000006"/>
  </r>
  <r>
    <x v="547"/>
    <x v="262"/>
    <x v="537"/>
    <x v="209"/>
    <n v="36"/>
    <s v="Female"/>
    <s v="Bengaluru"/>
    <s v="Rice"/>
    <s v="Grocery"/>
    <n v="5"/>
    <n v="38032.019999999997"/>
    <n v="190160.1"/>
  </r>
  <r>
    <x v="548"/>
    <x v="273"/>
    <x v="538"/>
    <x v="227"/>
    <n v="35"/>
    <s v="Male"/>
    <s v="Mumbai"/>
    <s v="Mobile"/>
    <s v="Electronics"/>
    <n v="9"/>
    <n v="37614.58"/>
    <n v="338531.22"/>
  </r>
  <r>
    <x v="549"/>
    <x v="213"/>
    <x v="539"/>
    <x v="338"/>
    <n v="60"/>
    <s v="Male"/>
    <s v="Gaya"/>
    <s v="Book"/>
    <s v="Education"/>
    <n v="4"/>
    <n v="18505.560000000001"/>
    <n v="74022.240000000005"/>
  </r>
  <r>
    <x v="550"/>
    <x v="274"/>
    <x v="3"/>
    <x v="339"/>
    <n v="21"/>
    <s v="Male"/>
    <s v="Hyderabad"/>
    <s v="Mobile"/>
    <s v="Electronics"/>
    <n v="6"/>
    <n v="21017.46"/>
    <n v="126104.76"/>
  </r>
  <r>
    <x v="551"/>
    <x v="73"/>
    <x v="540"/>
    <x v="340"/>
    <n v="18"/>
    <s v="Female"/>
    <s v="Hyderabad"/>
    <s v="Book"/>
    <s v="Education"/>
    <n v="8"/>
    <n v="1204.93"/>
    <n v="9639.44"/>
  </r>
  <r>
    <x v="552"/>
    <x v="275"/>
    <x v="541"/>
    <x v="35"/>
    <n v="35"/>
    <s v="Male"/>
    <s v="Delhi"/>
    <s v="Rice"/>
    <s v="Grocery"/>
    <n v="7"/>
    <n v="36390.58"/>
    <n v="254734.06"/>
  </r>
  <r>
    <x v="553"/>
    <x v="193"/>
    <x v="542"/>
    <x v="341"/>
    <n v="22"/>
    <s v="Male"/>
    <s v="Delhi"/>
    <s v="Mobile"/>
    <s v="Electronics"/>
    <n v="2"/>
    <n v="17302.3"/>
    <n v="34604.6"/>
  </r>
  <r>
    <x v="554"/>
    <x v="29"/>
    <x v="543"/>
    <x v="261"/>
    <n v="21"/>
    <s v="Male"/>
    <s v="Kolkata"/>
    <s v="Mobile"/>
    <s v="Electronics"/>
    <n v="10"/>
    <n v="6613.42"/>
    <n v="66134.2"/>
  </r>
  <r>
    <x v="555"/>
    <x v="139"/>
    <x v="544"/>
    <x v="342"/>
    <n v="34"/>
    <s v="Female"/>
    <s v="Kolkata"/>
    <s v="Mobile"/>
    <s v="Electronics"/>
    <n v="5"/>
    <n v="28280.37"/>
    <n v="141401.85"/>
  </r>
  <r>
    <x v="556"/>
    <x v="223"/>
    <x v="110"/>
    <x v="343"/>
    <n v="56"/>
    <s v="Female"/>
    <s v="Delhi"/>
    <s v="Book"/>
    <s v="Education"/>
    <n v="1"/>
    <n v="6150.86"/>
    <n v="6150.86"/>
  </r>
  <r>
    <x v="557"/>
    <x v="276"/>
    <x v="545"/>
    <x v="268"/>
    <n v="46"/>
    <s v="Female"/>
    <s v="Bengaluru"/>
    <s v="Rice"/>
    <s v="Grocery"/>
    <n v="4"/>
    <n v="26924.41"/>
    <n v="107697.64"/>
  </r>
  <r>
    <x v="558"/>
    <x v="23"/>
    <x v="546"/>
    <x v="54"/>
    <n v="56"/>
    <s v="Male"/>
    <s v="Hyderabad"/>
    <s v="Book"/>
    <s v="Education"/>
    <n v="3"/>
    <n v="6301.32"/>
    <n v="18903.96"/>
  </r>
  <r>
    <x v="559"/>
    <x v="277"/>
    <x v="547"/>
    <x v="206"/>
    <n v="40"/>
    <s v="Female"/>
    <s v="Patna"/>
    <s v="Book"/>
    <s v="Education"/>
    <n v="10"/>
    <n v="39690.68"/>
    <n v="396906.8"/>
  </r>
  <r>
    <x v="560"/>
    <x v="195"/>
    <x v="548"/>
    <x v="208"/>
    <n v="63"/>
    <s v="Male"/>
    <s v="Bengaluru"/>
    <s v="Chair"/>
    <s v="Furniture"/>
    <n v="6"/>
    <n v="36327.94"/>
    <n v="217967.64"/>
  </r>
  <r>
    <x v="561"/>
    <x v="134"/>
    <x v="549"/>
    <x v="43"/>
    <n v="60"/>
    <s v="Female"/>
    <s v="Mumbai"/>
    <s v="Mobile"/>
    <s v="Electronics"/>
    <n v="10"/>
    <n v="21547.89"/>
    <n v="215478.9"/>
  </r>
  <r>
    <x v="562"/>
    <x v="278"/>
    <x v="550"/>
    <x v="316"/>
    <n v="41"/>
    <s v="Female"/>
    <s v="Patna"/>
    <s v="Book"/>
    <s v="Education"/>
    <n v="8"/>
    <n v="32749.759999999998"/>
    <n v="261998.07999999999"/>
  </r>
  <r>
    <x v="563"/>
    <x v="78"/>
    <x v="551"/>
    <x v="37"/>
    <n v="21"/>
    <s v="Female"/>
    <s v="Kolkata"/>
    <s v="Chair"/>
    <s v="Furniture"/>
    <n v="10"/>
    <n v="43251.3"/>
    <n v="432513"/>
  </r>
  <r>
    <x v="564"/>
    <x v="32"/>
    <x v="552"/>
    <x v="10"/>
    <n v="32"/>
    <s v="Female"/>
    <s v="Hyderabad"/>
    <s v="Chair"/>
    <s v="Furniture"/>
    <n v="3"/>
    <n v="47748.45"/>
    <n v="143245.35"/>
  </r>
  <r>
    <x v="565"/>
    <x v="102"/>
    <x v="553"/>
    <x v="343"/>
    <n v="52"/>
    <s v="Female"/>
    <s v="Patna"/>
    <s v="Book"/>
    <s v="Education"/>
    <n v="4"/>
    <n v="16276.94"/>
    <n v="65107.76"/>
  </r>
  <r>
    <x v="566"/>
    <x v="135"/>
    <x v="554"/>
    <x v="58"/>
    <n v="48"/>
    <s v="Female"/>
    <s v="Delhi"/>
    <s v="Rice"/>
    <s v="Grocery"/>
    <n v="9"/>
    <n v="11122.7"/>
    <n v="100104.3"/>
  </r>
  <r>
    <x v="567"/>
    <x v="192"/>
    <x v="555"/>
    <x v="314"/>
    <n v="62"/>
    <s v="Male"/>
    <s v="Patna"/>
    <s v="Shoes"/>
    <s v="Fashion"/>
    <n v="2"/>
    <n v="39005.269999999997"/>
    <n v="78010.539999999994"/>
  </r>
  <r>
    <x v="568"/>
    <x v="71"/>
    <x v="556"/>
    <x v="344"/>
    <n v="28"/>
    <s v="Male"/>
    <s v="Patna"/>
    <s v="Mobile"/>
    <s v="Electronics"/>
    <n v="6"/>
    <n v="16346.82"/>
    <n v="98080.92"/>
  </r>
  <r>
    <x v="569"/>
    <x v="128"/>
    <x v="557"/>
    <x v="159"/>
    <n v="38"/>
    <s v="Female"/>
    <s v="Pune"/>
    <s v="Mobile"/>
    <s v="Electronics"/>
    <n v="4"/>
    <n v="3859.9"/>
    <n v="15439.6"/>
  </r>
  <r>
    <x v="570"/>
    <x v="59"/>
    <x v="558"/>
    <x v="234"/>
    <n v="39"/>
    <s v="Female"/>
    <s v="Kolkata"/>
    <s v="Laptop"/>
    <s v="Electronics"/>
    <n v="6"/>
    <n v="49058.94"/>
    <n v="294353.64"/>
  </r>
  <r>
    <x v="571"/>
    <x v="179"/>
    <x v="559"/>
    <x v="21"/>
    <n v="24"/>
    <s v="Female"/>
    <s v="Patna"/>
    <s v="Mobile"/>
    <s v="Electronics"/>
    <n v="7"/>
    <n v="413.2"/>
    <n v="2892.4"/>
  </r>
  <r>
    <x v="572"/>
    <x v="106"/>
    <x v="560"/>
    <x v="345"/>
    <n v="26"/>
    <s v="Female"/>
    <s v="Patna"/>
    <s v="Shoes"/>
    <s v="Fashion"/>
    <n v="5"/>
    <n v="21555.119999999999"/>
    <n v="107775.6"/>
  </r>
  <r>
    <x v="573"/>
    <x v="279"/>
    <x v="561"/>
    <x v="40"/>
    <n v="38"/>
    <s v="Male"/>
    <s v="Delhi"/>
    <s v="Chair"/>
    <s v="Furniture"/>
    <n v="5"/>
    <n v="37214.58"/>
    <n v="186072.9"/>
  </r>
  <r>
    <x v="574"/>
    <x v="280"/>
    <x v="562"/>
    <x v="346"/>
    <n v="31"/>
    <s v="Female"/>
    <s v="Patna"/>
    <s v="Mobile"/>
    <s v="Electronics"/>
    <n v="10"/>
    <n v="21194.59"/>
    <n v="211945.9"/>
  </r>
  <r>
    <x v="575"/>
    <x v="50"/>
    <x v="563"/>
    <x v="155"/>
    <n v="49"/>
    <s v="Female"/>
    <s v="Kolkata"/>
    <s v="Shoes"/>
    <s v="Fashion"/>
    <n v="8"/>
    <n v="44971.9"/>
    <n v="359775.2"/>
  </r>
  <r>
    <x v="576"/>
    <x v="276"/>
    <x v="499"/>
    <x v="236"/>
    <n v="39"/>
    <s v="Male"/>
    <s v="Pune"/>
    <s v="Shoes"/>
    <s v="Fashion"/>
    <n v="4"/>
    <n v="26046.5"/>
    <n v="104186"/>
  </r>
  <r>
    <x v="577"/>
    <x v="36"/>
    <x v="564"/>
    <x v="93"/>
    <n v="59"/>
    <s v="Male"/>
    <s v="Delhi"/>
    <s v="Mobile"/>
    <s v="Electronics"/>
    <n v="3"/>
    <n v="43567.37"/>
    <n v="130702.11"/>
  </r>
  <r>
    <x v="578"/>
    <x v="281"/>
    <x v="565"/>
    <x v="66"/>
    <n v="40"/>
    <s v="Male"/>
    <s v="Mumbai"/>
    <s v="Book"/>
    <s v="Education"/>
    <n v="5"/>
    <n v="19565.23"/>
    <n v="97826.15"/>
  </r>
  <r>
    <x v="579"/>
    <x v="122"/>
    <x v="566"/>
    <x v="228"/>
    <n v="62"/>
    <s v="Female"/>
    <s v="Patna"/>
    <s v="Shoes"/>
    <s v="Fashion"/>
    <n v="5"/>
    <n v="7642.55"/>
    <n v="38212.75"/>
  </r>
  <r>
    <x v="580"/>
    <x v="159"/>
    <x v="567"/>
    <x v="347"/>
    <n v="20"/>
    <s v="Female"/>
    <s v="Gaya"/>
    <s v="Mobile"/>
    <s v="Electronics"/>
    <n v="7"/>
    <n v="22060"/>
    <n v="154420"/>
  </r>
  <r>
    <x v="581"/>
    <x v="96"/>
    <x v="568"/>
    <x v="348"/>
    <n v="25"/>
    <s v="Female"/>
    <s v="Kolkata"/>
    <s v="Laptop"/>
    <s v="Electronics"/>
    <n v="2"/>
    <n v="20074.3"/>
    <n v="40148.6"/>
  </r>
  <r>
    <x v="582"/>
    <x v="18"/>
    <x v="569"/>
    <x v="55"/>
    <n v="42"/>
    <s v="Male"/>
    <s v="Hyderabad"/>
    <s v="Book"/>
    <s v="Education"/>
    <n v="2"/>
    <n v="5442.06"/>
    <n v="10884.12"/>
  </r>
  <r>
    <x v="583"/>
    <x v="79"/>
    <x v="570"/>
    <x v="59"/>
    <n v="49"/>
    <s v="Female"/>
    <s v="Pune"/>
    <s v="Mobile"/>
    <s v="Electronics"/>
    <n v="6"/>
    <n v="38159.29"/>
    <n v="228955.74"/>
  </r>
  <r>
    <x v="584"/>
    <x v="91"/>
    <x v="571"/>
    <x v="349"/>
    <n v="44"/>
    <s v="Female"/>
    <s v="Mumbai"/>
    <s v="Laptop"/>
    <s v="Electronics"/>
    <n v="1"/>
    <n v="18229"/>
    <n v="18229"/>
  </r>
  <r>
    <x v="585"/>
    <x v="282"/>
    <x v="572"/>
    <x v="220"/>
    <n v="61"/>
    <s v="Male"/>
    <s v="Delhi"/>
    <s v="Book"/>
    <s v="Education"/>
    <n v="2"/>
    <n v="14656.73"/>
    <n v="29313.46"/>
  </r>
  <r>
    <x v="586"/>
    <x v="242"/>
    <x v="573"/>
    <x v="350"/>
    <n v="51"/>
    <s v="Male"/>
    <s v="Mumbai"/>
    <s v="Mobile"/>
    <s v="Electronics"/>
    <n v="3"/>
    <n v="1286.3599999999999"/>
    <n v="3859.08"/>
  </r>
  <r>
    <x v="587"/>
    <x v="283"/>
    <x v="574"/>
    <x v="301"/>
    <n v="43"/>
    <s v="Female"/>
    <s v="Kolkata"/>
    <s v="Laptop"/>
    <s v="Electronics"/>
    <n v="2"/>
    <n v="11893.8"/>
    <n v="23787.599999999999"/>
  </r>
  <r>
    <x v="588"/>
    <x v="133"/>
    <x v="575"/>
    <x v="351"/>
    <n v="49"/>
    <s v="Female"/>
    <s v="Mumbai"/>
    <s v="Shoes"/>
    <s v="Fashion"/>
    <n v="2"/>
    <n v="11967.47"/>
    <n v="23934.94"/>
  </r>
  <r>
    <x v="589"/>
    <x v="253"/>
    <x v="576"/>
    <x v="352"/>
    <n v="24"/>
    <s v="Female"/>
    <s v="Pune"/>
    <s v="Chair"/>
    <s v="Furniture"/>
    <n v="4"/>
    <n v="35411.730000000003"/>
    <n v="141646.92000000001"/>
  </r>
  <r>
    <x v="590"/>
    <x v="277"/>
    <x v="368"/>
    <x v="62"/>
    <n v="30"/>
    <s v="Female"/>
    <s v="Delhi"/>
    <s v="Rice"/>
    <s v="Grocery"/>
    <n v="1"/>
    <n v="15515.24"/>
    <n v="15515.24"/>
  </r>
  <r>
    <x v="591"/>
    <x v="11"/>
    <x v="577"/>
    <x v="78"/>
    <n v="52"/>
    <s v="Male"/>
    <s v="Mumbai"/>
    <s v="Mobile"/>
    <s v="Electronics"/>
    <n v="9"/>
    <n v="697.87"/>
    <n v="6280.83"/>
  </r>
  <r>
    <x v="592"/>
    <x v="284"/>
    <x v="578"/>
    <x v="352"/>
    <n v="55"/>
    <s v="Female"/>
    <s v="Delhi"/>
    <s v="Shoes"/>
    <s v="Fashion"/>
    <n v="10"/>
    <n v="20857.23"/>
    <n v="208572.3"/>
  </r>
  <r>
    <x v="593"/>
    <x v="285"/>
    <x v="579"/>
    <x v="213"/>
    <n v="21"/>
    <s v="Female"/>
    <s v="Kolkata"/>
    <s v="Mobile"/>
    <s v="Electronics"/>
    <n v="8"/>
    <n v="3595.82"/>
    <n v="28766.560000000001"/>
  </r>
  <r>
    <x v="48"/>
    <x v="286"/>
    <x v="580"/>
    <x v="55"/>
    <m/>
    <s v="Male"/>
    <m/>
    <s v="Laptop"/>
    <s v="Electronics"/>
    <n v="7"/>
    <n v="20144.84"/>
    <n v="141013.88"/>
  </r>
  <r>
    <x v="594"/>
    <x v="175"/>
    <x v="581"/>
    <x v="353"/>
    <n v="61"/>
    <s v="Female"/>
    <s v="Kolkata"/>
    <s v="Shoes"/>
    <s v="Fashion"/>
    <n v="5"/>
    <n v="30620.75"/>
    <n v="153103.75"/>
  </r>
  <r>
    <x v="595"/>
    <x v="165"/>
    <x v="582"/>
    <x v="221"/>
    <n v="54"/>
    <s v="Male"/>
    <s v="Bengaluru"/>
    <s v="Laptop"/>
    <s v="Electronics"/>
    <n v="9"/>
    <n v="38955.26"/>
    <n v="350597.34"/>
  </r>
  <r>
    <x v="596"/>
    <x v="284"/>
    <x v="583"/>
    <x v="76"/>
    <n v="39"/>
    <s v="Male"/>
    <s v="Gaya"/>
    <s v="Laptop"/>
    <s v="Electronics"/>
    <n v="2"/>
    <n v="7534.68"/>
    <n v="15069.36"/>
  </r>
  <r>
    <x v="597"/>
    <x v="199"/>
    <x v="584"/>
    <x v="354"/>
    <n v="31"/>
    <s v="Female"/>
    <s v="Gaya"/>
    <s v="Laptop"/>
    <s v="Electronics"/>
    <n v="4"/>
    <n v="5789.5"/>
    <n v="23158"/>
  </r>
  <r>
    <x v="598"/>
    <x v="287"/>
    <x v="585"/>
    <x v="355"/>
    <n v="63"/>
    <s v="Female"/>
    <s v="Patna"/>
    <s v="Book"/>
    <s v="Education"/>
    <n v="8"/>
    <n v="46278.59"/>
    <n v="370228.72"/>
  </r>
  <r>
    <x v="599"/>
    <x v="34"/>
    <x v="586"/>
    <x v="216"/>
    <n v="56"/>
    <s v="Female"/>
    <s v="Kolkata"/>
    <s v="Chair"/>
    <s v="Furniture"/>
    <n v="2"/>
    <n v="14770.13"/>
    <n v="29540.26"/>
  </r>
  <r>
    <x v="600"/>
    <x v="64"/>
    <x v="587"/>
    <x v="90"/>
    <n v="27"/>
    <s v="Female"/>
    <s v="Mumbai"/>
    <s v="Rice"/>
    <s v="Grocery"/>
    <n v="6"/>
    <n v="45095.75"/>
    <n v="270574.5"/>
  </r>
  <r>
    <x v="601"/>
    <x v="124"/>
    <x v="588"/>
    <x v="356"/>
    <n v="34"/>
    <s v="Female"/>
    <s v="Hyderabad"/>
    <s v="Rice"/>
    <s v="Grocery"/>
    <n v="8"/>
    <n v="10393.69"/>
    <n v="83149.52"/>
  </r>
  <r>
    <x v="602"/>
    <x v="34"/>
    <x v="589"/>
    <x v="159"/>
    <n v="19"/>
    <s v="Female"/>
    <s v="Gaya"/>
    <s v="Rice"/>
    <s v="Grocery"/>
    <n v="4"/>
    <n v="38952.78"/>
    <n v="155811.12"/>
  </r>
  <r>
    <x v="603"/>
    <x v="21"/>
    <x v="590"/>
    <x v="156"/>
    <n v="48"/>
    <s v="Male"/>
    <s v="Kolkata"/>
    <s v="Laptop"/>
    <s v="Electronics"/>
    <n v="5"/>
    <n v="3414.17"/>
    <n v="17070.849999999999"/>
  </r>
  <r>
    <x v="604"/>
    <x v="288"/>
    <x v="591"/>
    <x v="356"/>
    <n v="37"/>
    <s v="Female"/>
    <s v="Delhi"/>
    <s v="Laptop"/>
    <s v="Electronics"/>
    <n v="7"/>
    <n v="5129.0200000000004"/>
    <n v="35903.14"/>
  </r>
  <r>
    <x v="605"/>
    <x v="289"/>
    <x v="592"/>
    <x v="357"/>
    <n v="39"/>
    <s v="Female"/>
    <s v="Kolkata"/>
    <s v="Mobile"/>
    <s v="Electronics"/>
    <n v="3"/>
    <n v="15846.45"/>
    <n v="47539.35"/>
  </r>
  <r>
    <x v="606"/>
    <x v="290"/>
    <x v="593"/>
    <x v="283"/>
    <n v="23"/>
    <s v="Male"/>
    <s v="Mumbai"/>
    <s v="Book"/>
    <s v="Education"/>
    <n v="4"/>
    <n v="27448.01"/>
    <n v="109792.04"/>
  </r>
  <r>
    <x v="607"/>
    <x v="11"/>
    <x v="594"/>
    <x v="298"/>
    <n v="39"/>
    <s v="Female"/>
    <s v="Delhi"/>
    <s v="Book"/>
    <s v="Education"/>
    <n v="4"/>
    <n v="5518.35"/>
    <n v="22073.4"/>
  </r>
  <r>
    <x v="608"/>
    <x v="217"/>
    <x v="595"/>
    <x v="29"/>
    <n v="31"/>
    <s v="Female"/>
    <s v="Delhi"/>
    <s v="Book"/>
    <s v="Education"/>
    <n v="9"/>
    <n v="39988.019999999997"/>
    <n v="359892.18"/>
  </r>
  <r>
    <x v="609"/>
    <x v="272"/>
    <x v="596"/>
    <x v="288"/>
    <n v="36"/>
    <s v="Male"/>
    <s v="Bengaluru"/>
    <s v="Shoes"/>
    <s v="Fashion"/>
    <n v="3"/>
    <n v="23079.96"/>
    <n v="69239.88"/>
  </r>
  <r>
    <x v="610"/>
    <x v="140"/>
    <x v="597"/>
    <x v="242"/>
    <n v="41"/>
    <s v="Female"/>
    <s v="Kolkata"/>
    <s v="Book"/>
    <s v="Education"/>
    <n v="9"/>
    <n v="14044.67"/>
    <n v="126402.03"/>
  </r>
  <r>
    <x v="611"/>
    <x v="291"/>
    <x v="598"/>
    <x v="40"/>
    <n v="33"/>
    <s v="Female"/>
    <s v="Pune"/>
    <s v="Shoes"/>
    <s v="Fashion"/>
    <n v="2"/>
    <n v="43693.36"/>
    <n v="87386.72"/>
  </r>
  <r>
    <x v="612"/>
    <x v="79"/>
    <x v="599"/>
    <x v="103"/>
    <n v="41"/>
    <s v="Male"/>
    <s v="Kolkata"/>
    <s v="Rice"/>
    <s v="Grocery"/>
    <n v="2"/>
    <n v="14181.47"/>
    <n v="28362.94"/>
  </r>
  <r>
    <x v="613"/>
    <x v="292"/>
    <x v="600"/>
    <x v="235"/>
    <n v="47"/>
    <s v="Female"/>
    <s v="Kolkata"/>
    <s v="Shoes"/>
    <s v="Fashion"/>
    <n v="4"/>
    <n v="28783.13"/>
    <n v="115132.52"/>
  </r>
  <r>
    <x v="614"/>
    <x v="262"/>
    <x v="601"/>
    <x v="358"/>
    <n v="61"/>
    <s v="Female"/>
    <s v="Gaya"/>
    <s v="Chair"/>
    <s v="Furniture"/>
    <n v="2"/>
    <n v="32432.65"/>
    <n v="64865.3"/>
  </r>
  <r>
    <x v="615"/>
    <x v="43"/>
    <x v="602"/>
    <x v="51"/>
    <n v="57"/>
    <s v="Male"/>
    <s v="Patna"/>
    <s v="Laptop"/>
    <s v="Electronics"/>
    <n v="4"/>
    <n v="29976.58"/>
    <n v="119906.32"/>
  </r>
  <r>
    <x v="616"/>
    <x v="88"/>
    <x v="603"/>
    <x v="359"/>
    <n v="62"/>
    <s v="Female"/>
    <s v="Hyderabad"/>
    <s v="Shoes"/>
    <s v="Fashion"/>
    <n v="7"/>
    <n v="38029.64"/>
    <n v="266207.48"/>
  </r>
  <r>
    <x v="617"/>
    <x v="141"/>
    <x v="604"/>
    <x v="360"/>
    <n v="54"/>
    <s v="Female"/>
    <s v="Hyderabad"/>
    <s v="Rice"/>
    <s v="Grocery"/>
    <n v="10"/>
    <n v="48255.19"/>
    <n v="482551.9"/>
  </r>
  <r>
    <x v="618"/>
    <x v="66"/>
    <x v="156"/>
    <x v="63"/>
    <n v="46"/>
    <s v="Male"/>
    <s v="Mumbai"/>
    <s v="Laptop"/>
    <s v="Electronics"/>
    <n v="9"/>
    <n v="27971.17"/>
    <n v="251740.53"/>
  </r>
  <r>
    <x v="619"/>
    <x v="184"/>
    <x v="605"/>
    <x v="66"/>
    <n v="30"/>
    <s v="Male"/>
    <s v="Gaya"/>
    <s v="Rice"/>
    <s v="Grocery"/>
    <n v="9"/>
    <n v="46756.46"/>
    <n v="420808.14"/>
  </r>
  <r>
    <x v="620"/>
    <x v="250"/>
    <x v="606"/>
    <x v="276"/>
    <n v="20"/>
    <s v="Male"/>
    <s v="Hyderabad"/>
    <s v="Laptop"/>
    <s v="Electronics"/>
    <n v="3"/>
    <n v="47466.18"/>
    <n v="142398.54"/>
  </r>
  <r>
    <x v="621"/>
    <x v="104"/>
    <x v="607"/>
    <x v="267"/>
    <n v="38"/>
    <s v="Male"/>
    <s v="Delhi"/>
    <s v="Shoes"/>
    <s v="Fashion"/>
    <n v="1"/>
    <n v="33193.9"/>
    <n v="33193.9"/>
  </r>
  <r>
    <x v="622"/>
    <x v="59"/>
    <x v="608"/>
    <x v="281"/>
    <n v="62"/>
    <s v="Male"/>
    <s v="Mumbai"/>
    <s v="Book"/>
    <s v="Education"/>
    <n v="1"/>
    <n v="46021.88"/>
    <n v="46021.88"/>
  </r>
  <r>
    <x v="623"/>
    <x v="13"/>
    <x v="609"/>
    <x v="341"/>
    <n v="41"/>
    <s v="Male"/>
    <s v="Bengaluru"/>
    <s v="Rice"/>
    <s v="Grocery"/>
    <n v="7"/>
    <n v="45512.65"/>
    <n v="318588.55"/>
  </r>
  <r>
    <x v="624"/>
    <x v="96"/>
    <x v="610"/>
    <x v="345"/>
    <n v="34"/>
    <s v="Male"/>
    <s v="Hyderabad"/>
    <s v="Chair"/>
    <s v="Furniture"/>
    <n v="9"/>
    <n v="46924.58"/>
    <n v="422321.22"/>
  </r>
  <r>
    <x v="625"/>
    <x v="197"/>
    <x v="611"/>
    <x v="358"/>
    <n v="24"/>
    <s v="Male"/>
    <s v="Pune"/>
    <s v="Shoes"/>
    <s v="Fashion"/>
    <n v="3"/>
    <n v="37343.19"/>
    <n v="112029.57"/>
  </r>
  <r>
    <x v="626"/>
    <x v="205"/>
    <x v="268"/>
    <x v="51"/>
    <n v="27"/>
    <s v="Female"/>
    <s v="Patna"/>
    <s v="Chair"/>
    <s v="Furniture"/>
    <n v="10"/>
    <n v="14175.96"/>
    <n v="141759.6"/>
  </r>
  <r>
    <x v="627"/>
    <x v="222"/>
    <x v="612"/>
    <x v="324"/>
    <n v="37"/>
    <s v="Male"/>
    <s v="Pune"/>
    <s v="Shoes"/>
    <s v="Fashion"/>
    <n v="8"/>
    <n v="7259.89"/>
    <n v="58079.12"/>
  </r>
  <r>
    <x v="628"/>
    <x v="4"/>
    <x v="401"/>
    <x v="14"/>
    <n v="58"/>
    <s v="Male"/>
    <s v="Patna"/>
    <s v="Chair"/>
    <s v="Furniture"/>
    <n v="3"/>
    <n v="257.27999999999997"/>
    <n v="771.84"/>
  </r>
  <r>
    <x v="629"/>
    <x v="135"/>
    <x v="613"/>
    <x v="279"/>
    <n v="18"/>
    <s v="Male"/>
    <s v="Kolkata"/>
    <s v="Shoes"/>
    <s v="Fashion"/>
    <n v="4"/>
    <n v="24291.82"/>
    <n v="97167.28"/>
  </r>
  <r>
    <x v="630"/>
    <x v="110"/>
    <x v="614"/>
    <x v="361"/>
    <n v="31"/>
    <s v="Male"/>
    <s v="Patna"/>
    <s v="Rice"/>
    <s v="Grocery"/>
    <n v="2"/>
    <n v="25919.18"/>
    <n v="51838.36"/>
  </r>
  <r>
    <x v="631"/>
    <x v="100"/>
    <x v="324"/>
    <x v="148"/>
    <n v="19"/>
    <s v="Male"/>
    <s v="Bengaluru"/>
    <s v="Rice"/>
    <s v="Grocery"/>
    <n v="4"/>
    <n v="24382.42"/>
    <n v="97529.68"/>
  </r>
  <r>
    <x v="632"/>
    <x v="293"/>
    <x v="615"/>
    <x v="10"/>
    <n v="46"/>
    <s v="Female"/>
    <s v="Pune"/>
    <s v="Shoes"/>
    <s v="Fashion"/>
    <n v="1"/>
    <n v="3971.35"/>
    <n v="3971.35"/>
  </r>
  <r>
    <x v="633"/>
    <x v="294"/>
    <x v="616"/>
    <x v="267"/>
    <n v="22"/>
    <s v="Male"/>
    <s v="Gaya"/>
    <s v="Laptop"/>
    <s v="Electronics"/>
    <n v="5"/>
    <n v="7739.33"/>
    <n v="38696.65"/>
  </r>
  <r>
    <x v="634"/>
    <x v="234"/>
    <x v="257"/>
    <x v="204"/>
    <n v="32"/>
    <s v="Female"/>
    <s v="Delhi"/>
    <s v="Book"/>
    <s v="Education"/>
    <n v="1"/>
    <n v="34302.92"/>
    <n v="34302.92"/>
  </r>
  <r>
    <x v="635"/>
    <x v="16"/>
    <x v="617"/>
    <x v="126"/>
    <n v="28"/>
    <s v="Female"/>
    <s v="Mumbai"/>
    <s v="Rice"/>
    <s v="Grocery"/>
    <n v="1"/>
    <n v="20626.25"/>
    <n v="20626.25"/>
  </r>
  <r>
    <x v="636"/>
    <x v="239"/>
    <x v="618"/>
    <x v="124"/>
    <n v="63"/>
    <s v="Female"/>
    <s v="Mumbai"/>
    <s v="Laptop"/>
    <s v="Electronics"/>
    <n v="9"/>
    <n v="39545.61"/>
    <n v="355910.49"/>
  </r>
  <r>
    <x v="637"/>
    <x v="94"/>
    <x v="619"/>
    <x v="211"/>
    <n v="30"/>
    <s v="Male"/>
    <s v="Kolkata"/>
    <s v="Chair"/>
    <s v="Furniture"/>
    <n v="3"/>
    <n v="23490.33"/>
    <n v="70470.990000000005"/>
  </r>
  <r>
    <x v="638"/>
    <x v="170"/>
    <x v="620"/>
    <x v="362"/>
    <n v="53"/>
    <s v="Male"/>
    <s v="Patna"/>
    <s v="Chair"/>
    <s v="Furniture"/>
    <n v="6"/>
    <n v="22343.439999999999"/>
    <n v="134060.64000000001"/>
  </r>
  <r>
    <x v="639"/>
    <x v="295"/>
    <x v="621"/>
    <x v="363"/>
    <n v="42"/>
    <s v="Female"/>
    <s v="Delhi"/>
    <s v="Shoes"/>
    <s v="Fashion"/>
    <n v="5"/>
    <n v="16279.37"/>
    <n v="81396.850000000006"/>
  </r>
  <r>
    <x v="640"/>
    <x v="269"/>
    <x v="622"/>
    <x v="25"/>
    <n v="52"/>
    <s v="Male"/>
    <s v="Pune"/>
    <s v="Laptop"/>
    <s v="Electronics"/>
    <n v="4"/>
    <n v="26566.32"/>
    <n v="106265.28"/>
  </r>
  <r>
    <x v="641"/>
    <x v="48"/>
    <x v="623"/>
    <x v="359"/>
    <n v="62"/>
    <s v="Female"/>
    <s v="Patna"/>
    <s v="Mobile"/>
    <s v="Electronics"/>
    <n v="6"/>
    <n v="1867.81"/>
    <n v="11206.86"/>
  </r>
  <r>
    <x v="642"/>
    <x v="75"/>
    <x v="624"/>
    <x v="68"/>
    <n v="53"/>
    <s v="Female"/>
    <s v="Delhi"/>
    <s v="Rice"/>
    <s v="Grocery"/>
    <n v="10"/>
    <n v="22106.78"/>
    <n v="221067.8"/>
  </r>
  <r>
    <x v="643"/>
    <x v="40"/>
    <x v="625"/>
    <x v="59"/>
    <m/>
    <s v="Female"/>
    <s v="Bengaluru"/>
    <s v="Rice"/>
    <s v="Grocery"/>
    <n v="3"/>
    <n v="7467.04"/>
    <n v="22401.119999999999"/>
  </r>
  <r>
    <x v="644"/>
    <x v="296"/>
    <x v="626"/>
    <x v="331"/>
    <n v="59"/>
    <s v="Male"/>
    <s v="Kolkata"/>
    <s v="Laptop"/>
    <s v="Electronics"/>
    <n v="7"/>
    <n v="27547.81"/>
    <n v="192834.67"/>
  </r>
  <r>
    <x v="645"/>
    <x v="209"/>
    <x v="627"/>
    <x v="302"/>
    <n v="30"/>
    <s v="Male"/>
    <s v="Pune"/>
    <s v="Book"/>
    <s v="Education"/>
    <n v="10"/>
    <n v="22952.77"/>
    <n v="229527.7"/>
  </r>
  <r>
    <x v="646"/>
    <x v="37"/>
    <x v="628"/>
    <x v="247"/>
    <n v="21"/>
    <s v="Male"/>
    <s v="Kolkata"/>
    <s v="Rice"/>
    <s v="Grocery"/>
    <n v="6"/>
    <n v="35222.230000000003"/>
    <n v="211333.38"/>
  </r>
  <r>
    <x v="647"/>
    <x v="168"/>
    <x v="629"/>
    <x v="10"/>
    <n v="39"/>
    <s v="Male"/>
    <s v="Mumbai"/>
    <s v="Chair"/>
    <s v="Furniture"/>
    <n v="8"/>
    <n v="16240.66"/>
    <n v="129925.28"/>
  </r>
  <r>
    <x v="648"/>
    <x v="25"/>
    <x v="630"/>
    <x v="251"/>
    <n v="55"/>
    <s v="Male"/>
    <s v="Hyderabad"/>
    <s v="Book"/>
    <s v="Education"/>
    <n v="1"/>
    <n v="12255.87"/>
    <n v="12255.87"/>
  </r>
  <r>
    <x v="649"/>
    <x v="180"/>
    <x v="631"/>
    <x v="61"/>
    <n v="21"/>
    <s v="Male"/>
    <s v="Bengaluru"/>
    <s v="Chair"/>
    <s v="Furniture"/>
    <n v="7"/>
    <n v="42941.88"/>
    <n v="300593.15999999997"/>
  </r>
  <r>
    <x v="650"/>
    <x v="297"/>
    <x v="632"/>
    <x v="289"/>
    <n v="54"/>
    <s v="Male"/>
    <s v="Delhi"/>
    <s v="Laptop"/>
    <s v="Electronics"/>
    <n v="10"/>
    <n v="10307.48"/>
    <n v="103074.8"/>
  </r>
  <r>
    <x v="651"/>
    <x v="1"/>
    <x v="633"/>
    <x v="200"/>
    <n v="18"/>
    <s v="Female"/>
    <s v="Pune"/>
    <s v="Shoes"/>
    <s v="Fashion"/>
    <n v="10"/>
    <n v="46270.13"/>
    <n v="462701.3"/>
  </r>
  <r>
    <x v="652"/>
    <x v="44"/>
    <x v="634"/>
    <x v="364"/>
    <n v="63"/>
    <s v="Male"/>
    <s v="Gaya"/>
    <s v="Book"/>
    <s v="Education"/>
    <n v="5"/>
    <n v="33524.03"/>
    <n v="167620.15"/>
  </r>
  <r>
    <x v="653"/>
    <x v="159"/>
    <x v="635"/>
    <x v="253"/>
    <n v="20"/>
    <s v="Male"/>
    <s v="Mumbai"/>
    <s v="Book"/>
    <s v="Education"/>
    <n v="2"/>
    <n v="38065.839999999997"/>
    <n v="76131.679999999993"/>
  </r>
  <r>
    <x v="654"/>
    <x v="121"/>
    <x v="636"/>
    <x v="353"/>
    <n v="23"/>
    <s v="Male"/>
    <s v="Bengaluru"/>
    <s v="Shoes"/>
    <s v="Fashion"/>
    <n v="10"/>
    <n v="8465.6200000000008"/>
    <n v="84656.2"/>
  </r>
  <r>
    <x v="655"/>
    <x v="119"/>
    <x v="637"/>
    <x v="277"/>
    <n v="44"/>
    <s v="Female"/>
    <s v="Hyderabad"/>
    <s v="Rice"/>
    <s v="Grocery"/>
    <n v="9"/>
    <n v="1610.18"/>
    <n v="14491.62"/>
  </r>
  <r>
    <x v="656"/>
    <x v="205"/>
    <x v="638"/>
    <x v="18"/>
    <n v="18"/>
    <s v="Male"/>
    <s v="Gaya"/>
    <s v="Rice"/>
    <s v="Grocery"/>
    <n v="5"/>
    <n v="35120.83"/>
    <n v="175604.15"/>
  </r>
  <r>
    <x v="657"/>
    <x v="50"/>
    <x v="639"/>
    <x v="365"/>
    <n v="33"/>
    <s v="Female"/>
    <s v="Pune"/>
    <s v="Chair"/>
    <s v="Furniture"/>
    <n v="6"/>
    <n v="30775.74"/>
    <n v="184654.44"/>
  </r>
  <r>
    <x v="658"/>
    <x v="41"/>
    <x v="640"/>
    <x v="218"/>
    <n v="27"/>
    <s v="Female"/>
    <s v="Pune"/>
    <s v="Laptop"/>
    <s v="Electronics"/>
    <n v="4"/>
    <n v="47796.53"/>
    <n v="191186.12"/>
  </r>
  <r>
    <x v="659"/>
    <x v="81"/>
    <x v="641"/>
    <x v="99"/>
    <n v="48"/>
    <s v="Female"/>
    <s v="Kolkata"/>
    <s v="Rice"/>
    <s v="Grocery"/>
    <n v="7"/>
    <n v="38583.879999999997"/>
    <n v="270087.15999999997"/>
  </r>
  <r>
    <x v="660"/>
    <x v="197"/>
    <x v="339"/>
    <x v="339"/>
    <n v="39"/>
    <s v="Male"/>
    <s v="Mumbai"/>
    <s v="Laptop"/>
    <s v="Electronics"/>
    <n v="6"/>
    <n v="38368.410000000003"/>
    <n v="230210.46"/>
  </r>
  <r>
    <x v="661"/>
    <x v="254"/>
    <x v="642"/>
    <x v="272"/>
    <n v="59"/>
    <s v="Male"/>
    <s v="Bengaluru"/>
    <s v="Chair"/>
    <s v="Furniture"/>
    <n v="4"/>
    <n v="48299.85"/>
    <n v="193199.4"/>
  </r>
  <r>
    <x v="662"/>
    <x v="298"/>
    <x v="643"/>
    <x v="35"/>
    <n v="20"/>
    <s v="Female"/>
    <s v="Bengaluru"/>
    <s v="Laptop"/>
    <s v="Electronics"/>
    <n v="9"/>
    <n v="6889.29"/>
    <n v="62003.61"/>
  </r>
  <r>
    <x v="663"/>
    <x v="299"/>
    <x v="644"/>
    <x v="366"/>
    <n v="60"/>
    <s v="Female"/>
    <s v="Bengaluru"/>
    <s v="Shoes"/>
    <s v="Fashion"/>
    <n v="10"/>
    <n v="41268.06"/>
    <n v="412680.6"/>
  </r>
  <r>
    <x v="664"/>
    <x v="216"/>
    <x v="645"/>
    <x v="66"/>
    <n v="60"/>
    <s v="Male"/>
    <s v="Delhi"/>
    <s v="Shoes"/>
    <s v="Fashion"/>
    <n v="5"/>
    <n v="28065.77"/>
    <n v="140328.85"/>
  </r>
  <r>
    <x v="665"/>
    <x v="102"/>
    <x v="646"/>
    <x v="249"/>
    <n v="37"/>
    <s v="Female"/>
    <s v="Gaya"/>
    <s v="Chair"/>
    <s v="Furniture"/>
    <n v="8"/>
    <n v="25269.25"/>
    <n v="202154"/>
  </r>
  <r>
    <x v="666"/>
    <x v="248"/>
    <x v="647"/>
    <x v="367"/>
    <n v="57"/>
    <s v="Male"/>
    <s v="Delhi"/>
    <s v="Chair"/>
    <s v="Furniture"/>
    <n v="2"/>
    <n v="31615.64"/>
    <n v="63231.28"/>
  </r>
  <r>
    <x v="667"/>
    <x v="238"/>
    <x v="648"/>
    <x v="61"/>
    <n v="55"/>
    <s v="Male"/>
    <s v="Kolkata"/>
    <s v="Mobile"/>
    <s v="Electronics"/>
    <n v="1"/>
    <n v="17212.990000000002"/>
    <n v="17212.990000000002"/>
  </r>
  <r>
    <x v="668"/>
    <x v="4"/>
    <x v="649"/>
    <x v="260"/>
    <n v="47"/>
    <s v="Male"/>
    <m/>
    <s v="Laptop"/>
    <s v="Electronics"/>
    <n v="1"/>
    <n v="14756.18"/>
    <n v="14756.18"/>
  </r>
  <r>
    <x v="669"/>
    <x v="30"/>
    <x v="650"/>
    <x v="302"/>
    <n v="47"/>
    <s v="Female"/>
    <s v="Mumbai"/>
    <s v="Shoes"/>
    <s v="Fashion"/>
    <n v="5"/>
    <n v="21694.12"/>
    <n v="108470.6"/>
  </r>
  <r>
    <x v="670"/>
    <x v="243"/>
    <x v="651"/>
    <x v="132"/>
    <n v="31"/>
    <s v="Male"/>
    <s v="Hyderabad"/>
    <s v="Book"/>
    <s v="Education"/>
    <n v="8"/>
    <n v="5632.88"/>
    <n v="45063.040000000001"/>
  </r>
  <r>
    <x v="671"/>
    <x v="25"/>
    <x v="652"/>
    <x v="368"/>
    <n v="35"/>
    <s v="Male"/>
    <s v="Hyderabad"/>
    <s v="Book"/>
    <s v="Education"/>
    <n v="5"/>
    <n v="16961.150000000001"/>
    <n v="84805.75"/>
  </r>
  <r>
    <x v="672"/>
    <x v="112"/>
    <x v="653"/>
    <x v="162"/>
    <n v="57"/>
    <s v="Female"/>
    <s v="Bengaluru"/>
    <s v="Mobile"/>
    <s v="Electronics"/>
    <n v="3"/>
    <n v="17500.41"/>
    <n v="52501.23"/>
  </r>
  <r>
    <x v="673"/>
    <x v="41"/>
    <x v="654"/>
    <x v="182"/>
    <n v="23"/>
    <s v="Male"/>
    <s v="Mumbai"/>
    <s v="Chair"/>
    <s v="Furniture"/>
    <n v="5"/>
    <n v="47401.02"/>
    <n v="237005.1"/>
  </r>
  <r>
    <x v="674"/>
    <x v="50"/>
    <x v="655"/>
    <x v="369"/>
    <n v="21"/>
    <s v="Male"/>
    <s v="Hyderabad"/>
    <s v="Mobile"/>
    <s v="Electronics"/>
    <n v="7"/>
    <n v="12194.92"/>
    <n v="85364.44"/>
  </r>
  <r>
    <x v="675"/>
    <x v="129"/>
    <x v="656"/>
    <x v="370"/>
    <n v="30"/>
    <s v="Female"/>
    <s v="Mumbai"/>
    <s v="Mobile"/>
    <s v="Electronics"/>
    <n v="8"/>
    <n v="49052.97"/>
    <n v="392423.76"/>
  </r>
  <r>
    <x v="676"/>
    <x v="175"/>
    <x v="657"/>
    <x v="299"/>
    <n v="64"/>
    <s v="Female"/>
    <s v="Hyderabad"/>
    <s v="Book"/>
    <s v="Education"/>
    <n v="4"/>
    <n v="22686.59"/>
    <n v="90746.36"/>
  </r>
  <r>
    <x v="677"/>
    <x v="122"/>
    <x v="658"/>
    <x v="80"/>
    <n v="57"/>
    <s v="Male"/>
    <s v="Bengaluru"/>
    <s v="Laptop"/>
    <s v="Electronics"/>
    <n v="5"/>
    <n v="34508.6"/>
    <n v="172543"/>
  </r>
  <r>
    <x v="678"/>
    <x v="76"/>
    <x v="233"/>
    <x v="371"/>
    <n v="53"/>
    <s v="Female"/>
    <s v="Mumbai"/>
    <s v="Laptop"/>
    <s v="Electronics"/>
    <n v="7"/>
    <n v="21599.35"/>
    <n v="151195.45000000001"/>
  </r>
  <r>
    <x v="679"/>
    <x v="118"/>
    <x v="659"/>
    <x v="174"/>
    <n v="47"/>
    <s v="Female"/>
    <s v="Hyderabad"/>
    <s v="Chair"/>
    <s v="Furniture"/>
    <n v="4"/>
    <n v="30019.56"/>
    <n v="120078.24"/>
  </r>
  <r>
    <x v="680"/>
    <x v="300"/>
    <x v="660"/>
    <x v="372"/>
    <n v="38"/>
    <s v="Female"/>
    <s v="Mumbai"/>
    <s v="Laptop"/>
    <s v="Electronics"/>
    <n v="5"/>
    <n v="24358.21"/>
    <n v="121791.05"/>
  </r>
  <r>
    <x v="681"/>
    <x v="5"/>
    <x v="661"/>
    <x v="373"/>
    <n v="29"/>
    <s v="Female"/>
    <s v="Pune"/>
    <s v="Chair"/>
    <s v="Furniture"/>
    <n v="6"/>
    <n v="16639.759999999998"/>
    <n v="99838.56"/>
  </r>
  <r>
    <x v="682"/>
    <x v="301"/>
    <x v="662"/>
    <x v="296"/>
    <n v="56"/>
    <s v="Female"/>
    <s v="Kolkata"/>
    <s v="Book"/>
    <s v="Education"/>
    <n v="3"/>
    <n v="48276.39"/>
    <n v="144829.17000000001"/>
  </r>
  <r>
    <x v="683"/>
    <x v="33"/>
    <x v="663"/>
    <x v="161"/>
    <n v="59"/>
    <s v="Female"/>
    <s v="Kolkata"/>
    <s v="Rice"/>
    <s v="Grocery"/>
    <n v="9"/>
    <n v="40069.01"/>
    <n v="360621.09"/>
  </r>
  <r>
    <x v="684"/>
    <x v="186"/>
    <x v="664"/>
    <x v="322"/>
    <n v="22"/>
    <s v="Male"/>
    <s v="Kolkata"/>
    <s v="Mobile"/>
    <s v="Electronics"/>
    <n v="9"/>
    <n v="31937.15"/>
    <n v="287434.34999999998"/>
  </r>
  <r>
    <x v="685"/>
    <x v="235"/>
    <x v="665"/>
    <x v="190"/>
    <n v="47"/>
    <s v="Female"/>
    <s v="Mumbai"/>
    <s v="Laptop"/>
    <s v="Electronics"/>
    <n v="7"/>
    <n v="40754.69"/>
    <n v="285282.83"/>
  </r>
  <r>
    <x v="686"/>
    <x v="274"/>
    <x v="666"/>
    <x v="155"/>
    <n v="30"/>
    <s v="Male"/>
    <s v="Kolkata"/>
    <s v="Book"/>
    <s v="Education"/>
    <n v="10"/>
    <n v="45877.49"/>
    <n v="458774.9"/>
  </r>
  <r>
    <x v="687"/>
    <x v="182"/>
    <x v="667"/>
    <x v="374"/>
    <n v="30"/>
    <s v="Female"/>
    <s v="Mumbai"/>
    <s v="Rice"/>
    <s v="Grocery"/>
    <n v="5"/>
    <n v="20994.21"/>
    <n v="104971.05"/>
  </r>
  <r>
    <x v="688"/>
    <x v="15"/>
    <x v="668"/>
    <x v="64"/>
    <n v="26"/>
    <s v="Female"/>
    <s v="Pune"/>
    <s v="Chair"/>
    <s v="Furniture"/>
    <n v="2"/>
    <n v="3215.11"/>
    <n v="6430.22"/>
  </r>
  <r>
    <x v="689"/>
    <x v="302"/>
    <x v="669"/>
    <x v="56"/>
    <n v="62"/>
    <s v="Female"/>
    <s v="Gaya"/>
    <s v="Shoes"/>
    <s v="Fashion"/>
    <n v="4"/>
    <n v="26936.34"/>
    <n v="107745.36"/>
  </r>
  <r>
    <x v="690"/>
    <x v="183"/>
    <x v="626"/>
    <x v="239"/>
    <n v="51"/>
    <s v="Female"/>
    <s v="Pune"/>
    <s v="Laptop"/>
    <s v="Electronics"/>
    <n v="9"/>
    <n v="29470.1"/>
    <n v="265230.90000000002"/>
  </r>
  <r>
    <x v="691"/>
    <x v="105"/>
    <x v="670"/>
    <x v="50"/>
    <n v="54"/>
    <s v="Female"/>
    <s v="Delhi"/>
    <s v="Book"/>
    <s v="Education"/>
    <n v="4"/>
    <n v="31076.31"/>
    <n v="124305.24"/>
  </r>
  <r>
    <x v="692"/>
    <x v="56"/>
    <x v="671"/>
    <x v="237"/>
    <n v="24"/>
    <s v="Male"/>
    <s v="Pune"/>
    <s v="Chair"/>
    <s v="Furniture"/>
    <n v="4"/>
    <n v="43864.35"/>
    <n v="175457.4"/>
  </r>
  <r>
    <x v="693"/>
    <x v="303"/>
    <x v="672"/>
    <x v="370"/>
    <m/>
    <s v="Female"/>
    <s v="Mumbai"/>
    <s v="Mobile"/>
    <s v="Electronics"/>
    <n v="9"/>
    <n v="11808.33"/>
    <n v="106274.97"/>
  </r>
  <r>
    <x v="694"/>
    <x v="74"/>
    <x v="673"/>
    <x v="126"/>
    <n v="22"/>
    <s v="Male"/>
    <s v="Gaya"/>
    <s v="Rice"/>
    <s v="Grocery"/>
    <n v="2"/>
    <n v="38128.32"/>
    <n v="76256.639999999999"/>
  </r>
  <r>
    <x v="695"/>
    <x v="116"/>
    <x v="674"/>
    <x v="374"/>
    <n v="30"/>
    <s v="Female"/>
    <s v="Kolkata"/>
    <s v="Book"/>
    <s v="Education"/>
    <n v="9"/>
    <n v="28222.97"/>
    <n v="254006.73"/>
  </r>
  <r>
    <x v="696"/>
    <x v="228"/>
    <x v="675"/>
    <x v="375"/>
    <n v="38"/>
    <s v="Male"/>
    <s v="Gaya"/>
    <s v="Book"/>
    <s v="Education"/>
    <n v="6"/>
    <n v="21720.560000000001"/>
    <n v="130323.36"/>
  </r>
  <r>
    <x v="697"/>
    <x v="304"/>
    <x v="676"/>
    <x v="289"/>
    <n v="38"/>
    <s v="Male"/>
    <s v="Gaya"/>
    <s v="Chair"/>
    <s v="Furniture"/>
    <n v="3"/>
    <n v="4568.6099999999997"/>
    <n v="13705.83"/>
  </r>
  <r>
    <x v="698"/>
    <x v="305"/>
    <x v="677"/>
    <x v="122"/>
    <n v="19"/>
    <s v="Female"/>
    <s v="Mumbai"/>
    <s v="Book"/>
    <s v="Education"/>
    <n v="3"/>
    <n v="11492.49"/>
    <n v="34477.47"/>
  </r>
  <r>
    <x v="699"/>
    <x v="9"/>
    <x v="678"/>
    <x v="194"/>
    <n v="43"/>
    <s v="Female"/>
    <s v="Delhi"/>
    <s v="Chair"/>
    <s v="Furniture"/>
    <n v="3"/>
    <n v="23252.080000000002"/>
    <n v="69756.240000000005"/>
  </r>
  <r>
    <x v="700"/>
    <x v="149"/>
    <x v="679"/>
    <x v="139"/>
    <n v="60"/>
    <s v="Male"/>
    <s v="Patna"/>
    <s v="Book"/>
    <s v="Education"/>
    <n v="9"/>
    <n v="31686.77"/>
    <n v="285180.93"/>
  </r>
  <r>
    <x v="701"/>
    <x v="306"/>
    <x v="680"/>
    <x v="285"/>
    <n v="21"/>
    <s v="Male"/>
    <s v="Kolkata"/>
    <s v="Laptop"/>
    <s v="Electronics"/>
    <n v="2"/>
    <n v="37278.21"/>
    <n v="74556.42"/>
  </r>
  <r>
    <x v="702"/>
    <x v="307"/>
    <x v="681"/>
    <x v="376"/>
    <n v="28"/>
    <s v="Male"/>
    <s v="Bengaluru"/>
    <s v="Laptop"/>
    <s v="Electronics"/>
    <n v="6"/>
    <n v="12680.8"/>
    <n v="76084.800000000003"/>
  </r>
  <r>
    <x v="703"/>
    <x v="308"/>
    <x v="682"/>
    <x v="55"/>
    <n v="51"/>
    <s v="Female"/>
    <s v="Hyderabad"/>
    <s v="Rice"/>
    <s v="Grocery"/>
    <n v="4"/>
    <n v="17704.669999999998"/>
    <n v="70818.679999999993"/>
  </r>
  <r>
    <x v="704"/>
    <x v="131"/>
    <x v="683"/>
    <x v="377"/>
    <n v="20"/>
    <s v="Female"/>
    <s v="Gaya"/>
    <s v="Shoes"/>
    <s v="Fashion"/>
    <n v="5"/>
    <n v="22734.66"/>
    <n v="113673.3"/>
  </r>
  <r>
    <x v="705"/>
    <x v="96"/>
    <x v="684"/>
    <x v="200"/>
    <n v="55"/>
    <s v="Female"/>
    <s v="Hyderabad"/>
    <s v="Laptop"/>
    <s v="Electronics"/>
    <n v="6"/>
    <n v="36277.760000000002"/>
    <n v="217666.56"/>
  </r>
  <r>
    <x v="706"/>
    <x v="269"/>
    <x v="685"/>
    <x v="31"/>
    <n v="45"/>
    <s v="Male"/>
    <s v="Bengaluru"/>
    <s v="Shoes"/>
    <s v="Fashion"/>
    <n v="6"/>
    <n v="27885.58"/>
    <n v="167313.48000000001"/>
  </r>
  <r>
    <x v="707"/>
    <x v="9"/>
    <x v="686"/>
    <x v="28"/>
    <n v="30"/>
    <s v="Male"/>
    <s v="Kolkata"/>
    <s v="Mobile"/>
    <s v="Electronics"/>
    <n v="10"/>
    <n v="47079.86"/>
    <n v="470798.6"/>
  </r>
  <r>
    <x v="708"/>
    <x v="75"/>
    <x v="687"/>
    <x v="371"/>
    <n v="23"/>
    <s v="Female"/>
    <s v="Kolkata"/>
    <s v="Book"/>
    <s v="Education"/>
    <n v="2"/>
    <n v="30201.81"/>
    <n v="60403.62"/>
  </r>
  <r>
    <x v="709"/>
    <x v="122"/>
    <x v="688"/>
    <x v="55"/>
    <n v="51"/>
    <s v="Female"/>
    <s v="Patna"/>
    <s v="Shoes"/>
    <s v="Fashion"/>
    <n v="6"/>
    <n v="32890.28"/>
    <n v="197341.68"/>
  </r>
  <r>
    <x v="710"/>
    <x v="151"/>
    <x v="689"/>
    <x v="261"/>
    <n v="38"/>
    <s v="Female"/>
    <s v="Bengaluru"/>
    <s v="Mobile"/>
    <s v="Electronics"/>
    <n v="1"/>
    <n v="39342.980000000003"/>
    <n v="39342.980000000003"/>
  </r>
  <r>
    <x v="711"/>
    <x v="47"/>
    <x v="690"/>
    <x v="359"/>
    <n v="52"/>
    <s v="Male"/>
    <s v="Pune"/>
    <s v="Shoes"/>
    <s v="Fashion"/>
    <n v="5"/>
    <n v="42114.22"/>
    <n v="210571.1"/>
  </r>
  <r>
    <x v="712"/>
    <x v="121"/>
    <x v="691"/>
    <x v="337"/>
    <n v="26"/>
    <s v="Male"/>
    <s v="Pune"/>
    <s v="Chair"/>
    <s v="Furniture"/>
    <n v="5"/>
    <n v="15011.99"/>
    <n v="75059.95"/>
  </r>
  <r>
    <x v="48"/>
    <x v="266"/>
    <x v="530"/>
    <x v="20"/>
    <n v="31"/>
    <s v="Female"/>
    <s v="Mumbai"/>
    <s v="Rice"/>
    <s v="Grocery"/>
    <n v="4"/>
    <n v="42642.59"/>
    <n v="170570.36"/>
  </r>
  <r>
    <x v="713"/>
    <x v="22"/>
    <x v="692"/>
    <x v="69"/>
    <n v="37"/>
    <s v="Male"/>
    <s v="Patna"/>
    <s v="Rice"/>
    <s v="Grocery"/>
    <n v="6"/>
    <n v="27168.79"/>
    <n v="163012.74"/>
  </r>
  <r>
    <x v="714"/>
    <x v="299"/>
    <x v="693"/>
    <x v="301"/>
    <n v="28"/>
    <s v="Male"/>
    <s v="Delhi"/>
    <s v="Rice"/>
    <s v="Grocery"/>
    <n v="7"/>
    <n v="31567.62"/>
    <n v="220973.34"/>
  </r>
  <r>
    <x v="715"/>
    <x v="309"/>
    <x v="694"/>
    <x v="115"/>
    <n v="58"/>
    <s v="Female"/>
    <s v="Delhi"/>
    <s v="Laptop"/>
    <s v="Electronics"/>
    <n v="10"/>
    <n v="44401.64"/>
    <n v="444016.4"/>
  </r>
  <r>
    <x v="716"/>
    <x v="213"/>
    <x v="695"/>
    <x v="353"/>
    <n v="47"/>
    <s v="Male"/>
    <s v="Delhi"/>
    <s v="Rice"/>
    <s v="Grocery"/>
    <n v="2"/>
    <n v="5467.01"/>
    <n v="10934.02"/>
  </r>
  <r>
    <x v="717"/>
    <x v="310"/>
    <x v="696"/>
    <x v="127"/>
    <n v="37"/>
    <s v="Female"/>
    <s v="Kolkata"/>
    <s v="Laptop"/>
    <s v="Electronics"/>
    <n v="7"/>
    <n v="40635.519999999997"/>
    <n v="284448.64000000001"/>
  </r>
  <r>
    <x v="718"/>
    <x v="56"/>
    <x v="697"/>
    <x v="301"/>
    <n v="38"/>
    <s v="Male"/>
    <s v="Pune"/>
    <s v="Shoes"/>
    <s v="Fashion"/>
    <n v="7"/>
    <n v="26916.23"/>
    <n v="188413.61"/>
  </r>
  <r>
    <x v="719"/>
    <x v="230"/>
    <x v="698"/>
    <x v="154"/>
    <n v="27"/>
    <s v="Female"/>
    <s v="Kolkata"/>
    <s v="Chair"/>
    <s v="Furniture"/>
    <n v="5"/>
    <n v="24409.5"/>
    <n v="122047.5"/>
  </r>
  <r>
    <x v="720"/>
    <x v="292"/>
    <x v="699"/>
    <x v="132"/>
    <n v="37"/>
    <s v="Male"/>
    <s v="Patna"/>
    <s v="Chair"/>
    <s v="Furniture"/>
    <n v="10"/>
    <n v="19600.310000000001"/>
    <n v="196003.1"/>
  </r>
  <r>
    <x v="721"/>
    <x v="256"/>
    <x v="700"/>
    <x v="67"/>
    <n v="58"/>
    <s v="Female"/>
    <s v="Kolkata"/>
    <s v="Book"/>
    <s v="Education"/>
    <n v="3"/>
    <n v="40119.65"/>
    <n v="120358.95"/>
  </r>
  <r>
    <x v="722"/>
    <x v="245"/>
    <x v="701"/>
    <x v="117"/>
    <n v="44"/>
    <s v="Female"/>
    <s v="Kolkata"/>
    <s v="Chair"/>
    <s v="Furniture"/>
    <n v="5"/>
    <n v="33187.56"/>
    <n v="165937.79999999999"/>
  </r>
  <r>
    <x v="723"/>
    <x v="117"/>
    <x v="702"/>
    <x v="224"/>
    <n v="22"/>
    <s v="Female"/>
    <s v="Gaya"/>
    <s v="Book"/>
    <s v="Education"/>
    <n v="3"/>
    <n v="26807.040000000001"/>
    <n v="80421.119999999995"/>
  </r>
  <r>
    <x v="724"/>
    <x v="192"/>
    <x v="703"/>
    <x v="281"/>
    <n v="64"/>
    <s v="Female"/>
    <s v="Hyderabad"/>
    <s v="Shoes"/>
    <s v="Fashion"/>
    <n v="1"/>
    <n v="19202.88"/>
    <n v="19202.88"/>
  </r>
  <r>
    <x v="725"/>
    <x v="88"/>
    <x v="704"/>
    <x v="196"/>
    <n v="22"/>
    <s v="Male"/>
    <s v="Pune"/>
    <s v="Chair"/>
    <s v="Furniture"/>
    <n v="6"/>
    <n v="27085.46"/>
    <n v="162512.76"/>
  </r>
  <r>
    <x v="726"/>
    <x v="36"/>
    <x v="705"/>
    <x v="374"/>
    <n v="28"/>
    <s v="Female"/>
    <s v="Gaya"/>
    <s v="Chair"/>
    <s v="Furniture"/>
    <n v="3"/>
    <n v="24462.54"/>
    <n v="73387.62"/>
  </r>
  <r>
    <x v="727"/>
    <x v="311"/>
    <x v="706"/>
    <x v="70"/>
    <n v="28"/>
    <s v="Male"/>
    <s v="Bengaluru"/>
    <s v="Rice"/>
    <s v="Grocery"/>
    <n v="6"/>
    <n v="25359.39"/>
    <n v="152156.34"/>
  </r>
  <r>
    <x v="728"/>
    <x v="312"/>
    <x v="707"/>
    <x v="239"/>
    <n v="32"/>
    <s v="Female"/>
    <s v="Gaya"/>
    <s v="Mobile"/>
    <s v="Electronics"/>
    <n v="6"/>
    <n v="19210.66"/>
    <n v="115263.96"/>
  </r>
  <r>
    <x v="729"/>
    <x v="47"/>
    <x v="708"/>
    <x v="287"/>
    <n v="53"/>
    <s v="Female"/>
    <s v="Kolkata"/>
    <s v="Rice"/>
    <s v="Grocery"/>
    <n v="5"/>
    <n v="414.13"/>
    <n v="2070.65"/>
  </r>
  <r>
    <x v="730"/>
    <x v="276"/>
    <x v="709"/>
    <x v="95"/>
    <n v="24"/>
    <s v="Male"/>
    <s v="Kolkata"/>
    <s v="Laptop"/>
    <s v="Electronics"/>
    <n v="6"/>
    <n v="9761.4599999999991"/>
    <n v="58568.76"/>
  </r>
  <r>
    <x v="731"/>
    <x v="79"/>
    <x v="710"/>
    <x v="242"/>
    <n v="61"/>
    <s v="Female"/>
    <s v="Hyderabad"/>
    <s v="Rice"/>
    <s v="Grocery"/>
    <n v="4"/>
    <n v="19284.599999999999"/>
    <n v="77138.399999999994"/>
  </r>
  <r>
    <x v="732"/>
    <x v="160"/>
    <x v="711"/>
    <x v="272"/>
    <n v="49"/>
    <s v="Male"/>
    <s v="Delhi"/>
    <s v="Laptop"/>
    <s v="Electronics"/>
    <n v="4"/>
    <n v="21098.23"/>
    <n v="84392.92"/>
  </r>
  <r>
    <x v="733"/>
    <x v="189"/>
    <x v="712"/>
    <x v="318"/>
    <n v="64"/>
    <s v="Male"/>
    <s v="Kolkata"/>
    <s v="Chair"/>
    <s v="Furniture"/>
    <n v="2"/>
    <n v="1876.89"/>
    <n v="3753.78"/>
  </r>
  <r>
    <x v="734"/>
    <x v="143"/>
    <x v="713"/>
    <x v="12"/>
    <n v="33"/>
    <s v="Male"/>
    <s v="Pune"/>
    <s v="Rice"/>
    <s v="Grocery"/>
    <n v="7"/>
    <n v="9084.0300000000007"/>
    <n v="63588.21"/>
  </r>
  <r>
    <x v="735"/>
    <x v="106"/>
    <x v="714"/>
    <x v="378"/>
    <n v="42"/>
    <s v="Female"/>
    <s v="Gaya"/>
    <s v="Rice"/>
    <s v="Grocery"/>
    <n v="3"/>
    <n v="45959.58"/>
    <n v="137878.74"/>
  </r>
  <r>
    <x v="736"/>
    <x v="187"/>
    <x v="216"/>
    <x v="333"/>
    <n v="29"/>
    <s v="Male"/>
    <s v="Pune"/>
    <s v="Chair"/>
    <s v="Furniture"/>
    <n v="8"/>
    <n v="8692.39"/>
    <n v="69539.12"/>
  </r>
  <r>
    <x v="737"/>
    <x v="113"/>
    <x v="715"/>
    <x v="341"/>
    <n v="22"/>
    <s v="Male"/>
    <s v="Patna"/>
    <s v="Laptop"/>
    <s v="Electronics"/>
    <n v="7"/>
    <n v="45703.28"/>
    <n v="319922.96000000002"/>
  </r>
  <r>
    <x v="738"/>
    <x v="301"/>
    <x v="716"/>
    <x v="275"/>
    <n v="22"/>
    <s v="Male"/>
    <s v="Pune"/>
    <s v="Mobile"/>
    <s v="Electronics"/>
    <n v="4"/>
    <n v="30973.53"/>
    <n v="123894.12"/>
  </r>
  <r>
    <x v="739"/>
    <x v="150"/>
    <x v="717"/>
    <x v="171"/>
    <n v="55"/>
    <s v="Male"/>
    <s v="Patna"/>
    <s v="Chair"/>
    <s v="Furniture"/>
    <n v="5"/>
    <n v="49147.41"/>
    <n v="245737.05"/>
  </r>
  <r>
    <x v="740"/>
    <x v="313"/>
    <x v="327"/>
    <x v="139"/>
    <n v="57"/>
    <s v="Male"/>
    <s v="Gaya"/>
    <s v="Laptop"/>
    <s v="Electronics"/>
    <n v="10"/>
    <n v="17533.55"/>
    <n v="175335.5"/>
  </r>
  <r>
    <x v="741"/>
    <x v="307"/>
    <x v="718"/>
    <x v="181"/>
    <n v="22"/>
    <s v="Female"/>
    <s v="Kolkata"/>
    <s v="Laptop"/>
    <s v="Electronics"/>
    <n v="5"/>
    <n v="18457.22"/>
    <n v="92286.1"/>
  </r>
  <r>
    <x v="742"/>
    <x v="156"/>
    <x v="719"/>
    <x v="146"/>
    <m/>
    <s v="Female"/>
    <m/>
    <s v="Chair"/>
    <s v="Furniture"/>
    <n v="10"/>
    <n v="43808.06"/>
    <n v="438080.6"/>
  </r>
  <r>
    <x v="743"/>
    <x v="139"/>
    <x v="720"/>
    <x v="146"/>
    <n v="60"/>
    <s v="Female"/>
    <s v="Pune"/>
    <s v="Book"/>
    <s v="Education"/>
    <n v="6"/>
    <n v="24375.93"/>
    <n v="146255.57999999999"/>
  </r>
  <r>
    <x v="744"/>
    <x v="13"/>
    <x v="721"/>
    <x v="97"/>
    <n v="27"/>
    <s v="Male"/>
    <s v="Patna"/>
    <s v="Shoes"/>
    <s v="Fashion"/>
    <n v="4"/>
    <n v="34969.019999999997"/>
    <n v="139876.07999999999"/>
  </r>
  <r>
    <x v="745"/>
    <x v="314"/>
    <x v="722"/>
    <x v="379"/>
    <n v="33"/>
    <s v="Female"/>
    <s v="Hyderabad"/>
    <s v="Book"/>
    <s v="Education"/>
    <n v="1"/>
    <n v="17299.04"/>
    <n v="17299.04"/>
  </r>
  <r>
    <x v="746"/>
    <x v="315"/>
    <x v="723"/>
    <x v="380"/>
    <n v="40"/>
    <s v="Male"/>
    <s v="Kolkata"/>
    <s v="Mobile"/>
    <s v="Electronics"/>
    <n v="5"/>
    <n v="10274.450000000001"/>
    <n v="51372.25"/>
  </r>
  <r>
    <x v="747"/>
    <x v="149"/>
    <x v="724"/>
    <x v="306"/>
    <n v="60"/>
    <s v="Female"/>
    <s v="Delhi"/>
    <s v="Book"/>
    <s v="Education"/>
    <n v="10"/>
    <n v="24270.17"/>
    <n v="242701.7"/>
  </r>
  <r>
    <x v="748"/>
    <x v="174"/>
    <x v="725"/>
    <x v="50"/>
    <n v="59"/>
    <s v="Male"/>
    <s v="Patna"/>
    <s v="Rice"/>
    <s v="Grocery"/>
    <n v="10"/>
    <n v="2066.9299999999998"/>
    <n v="20669.3"/>
  </r>
  <r>
    <x v="749"/>
    <x v="293"/>
    <x v="726"/>
    <x v="381"/>
    <n v="29"/>
    <s v="Female"/>
    <s v="Kolkata"/>
    <s v="Chair"/>
    <s v="Furniture"/>
    <n v="10"/>
    <n v="13304.47"/>
    <n v="133044.70000000001"/>
  </r>
  <r>
    <x v="750"/>
    <x v="89"/>
    <x v="727"/>
    <x v="335"/>
    <n v="21"/>
    <s v="Male"/>
    <s v="Hyderabad"/>
    <s v="Mobile"/>
    <s v="Electronics"/>
    <n v="5"/>
    <n v="9442.5"/>
    <n v="47212.5"/>
  </r>
  <r>
    <x v="751"/>
    <x v="140"/>
    <x v="728"/>
    <x v="382"/>
    <n v="21"/>
    <s v="Female"/>
    <s v="Kolkata"/>
    <s v="Mobile"/>
    <s v="Electronics"/>
    <n v="10"/>
    <n v="25698.62"/>
    <n v="256986.2"/>
  </r>
  <r>
    <x v="752"/>
    <x v="69"/>
    <x v="729"/>
    <x v="134"/>
    <n v="61"/>
    <s v="Male"/>
    <s v="Hyderabad"/>
    <s v="Shoes"/>
    <s v="Fashion"/>
    <n v="8"/>
    <n v="32219.95"/>
    <n v="257759.6"/>
  </r>
  <r>
    <x v="753"/>
    <x v="275"/>
    <x v="730"/>
    <x v="2"/>
    <n v="59"/>
    <s v="Male"/>
    <s v="Delhi"/>
    <s v="Laptop"/>
    <s v="Electronics"/>
    <n v="2"/>
    <n v="14931.2"/>
    <n v="29862.400000000001"/>
  </r>
  <r>
    <x v="754"/>
    <x v="52"/>
    <x v="731"/>
    <x v="383"/>
    <n v="48"/>
    <s v="Male"/>
    <s v="Kolkata"/>
    <s v="Chair"/>
    <s v="Furniture"/>
    <n v="4"/>
    <n v="40783.14"/>
    <n v="163132.56"/>
  </r>
  <r>
    <x v="755"/>
    <x v="215"/>
    <x v="732"/>
    <x v="304"/>
    <n v="56"/>
    <s v="Female"/>
    <s v="Gaya"/>
    <s v="Laptop"/>
    <s v="Electronics"/>
    <n v="5"/>
    <n v="17824.96"/>
    <n v="89124.800000000003"/>
  </r>
  <r>
    <x v="756"/>
    <x v="294"/>
    <x v="77"/>
    <x v="186"/>
    <n v="32"/>
    <s v="Male"/>
    <s v="Bengaluru"/>
    <s v="Laptop"/>
    <s v="Electronics"/>
    <n v="10"/>
    <n v="49217.41"/>
    <n v="492174.1"/>
  </r>
  <r>
    <x v="757"/>
    <x v="267"/>
    <x v="733"/>
    <x v="202"/>
    <n v="61"/>
    <s v="Female"/>
    <s v="Mumbai"/>
    <s v="Rice"/>
    <s v="Grocery"/>
    <n v="2"/>
    <n v="36631.230000000003"/>
    <n v="73262.460000000006"/>
  </r>
  <r>
    <x v="758"/>
    <x v="62"/>
    <x v="734"/>
    <x v="142"/>
    <n v="43"/>
    <s v="Female"/>
    <s v="Patna"/>
    <s v="Chair"/>
    <s v="Furniture"/>
    <n v="3"/>
    <n v="5550.25"/>
    <n v="16650.75"/>
  </r>
  <r>
    <x v="759"/>
    <x v="316"/>
    <x v="735"/>
    <x v="176"/>
    <n v="43"/>
    <s v="Male"/>
    <s v="Hyderabad"/>
    <s v="Mobile"/>
    <s v="Electronics"/>
    <n v="1"/>
    <n v="12225.22"/>
    <n v="12225.22"/>
  </r>
  <r>
    <x v="760"/>
    <x v="193"/>
    <x v="736"/>
    <x v="253"/>
    <n v="30"/>
    <s v="Female"/>
    <s v="Bengaluru"/>
    <s v="Mobile"/>
    <s v="Electronics"/>
    <n v="10"/>
    <n v="19819.95"/>
    <n v="198199.5"/>
  </r>
  <r>
    <x v="761"/>
    <x v="310"/>
    <x v="737"/>
    <x v="311"/>
    <n v="23"/>
    <s v="Male"/>
    <s v="Pune"/>
    <s v="Laptop"/>
    <s v="Electronics"/>
    <n v="1"/>
    <n v="42736.43"/>
    <n v="42736.43"/>
  </r>
  <r>
    <x v="762"/>
    <x v="317"/>
    <x v="738"/>
    <x v="384"/>
    <n v="27"/>
    <s v="Male"/>
    <s v="Bengaluru"/>
    <s v="Chair"/>
    <s v="Furniture"/>
    <n v="2"/>
    <n v="36426.050000000003"/>
    <n v="72852.100000000006"/>
  </r>
  <r>
    <x v="763"/>
    <x v="143"/>
    <x v="739"/>
    <x v="385"/>
    <n v="29"/>
    <s v="Female"/>
    <s v="Delhi"/>
    <s v="Shoes"/>
    <s v="Fashion"/>
    <n v="1"/>
    <n v="12121.61"/>
    <n v="12121.61"/>
  </r>
  <r>
    <x v="764"/>
    <x v="212"/>
    <x v="740"/>
    <x v="381"/>
    <n v="65"/>
    <s v="Male"/>
    <s v="Kolkata"/>
    <s v="Rice"/>
    <s v="Grocery"/>
    <n v="5"/>
    <n v="11824.36"/>
    <n v="59121.8"/>
  </r>
  <r>
    <x v="765"/>
    <x v="12"/>
    <x v="741"/>
    <x v="92"/>
    <n v="60"/>
    <s v="Male"/>
    <s v="Hyderabad"/>
    <s v="Mobile"/>
    <s v="Electronics"/>
    <n v="4"/>
    <n v="988.45"/>
    <n v="3953.8"/>
  </r>
  <r>
    <x v="766"/>
    <x v="306"/>
    <x v="742"/>
    <x v="91"/>
    <n v="43"/>
    <s v="Male"/>
    <s v="Patna"/>
    <s v="Mobile"/>
    <s v="Electronics"/>
    <n v="7"/>
    <n v="13263.83"/>
    <n v="92846.81"/>
  </r>
  <r>
    <x v="767"/>
    <x v="161"/>
    <x v="743"/>
    <x v="233"/>
    <n v="38"/>
    <s v="Female"/>
    <s v="Bengaluru"/>
    <s v="Book"/>
    <s v="Education"/>
    <n v="6"/>
    <n v="35023.550000000003"/>
    <n v="210141.3"/>
  </r>
  <r>
    <x v="768"/>
    <x v="180"/>
    <x v="744"/>
    <x v="247"/>
    <n v="32"/>
    <s v="Female"/>
    <s v="Gaya"/>
    <s v="Chair"/>
    <s v="Furniture"/>
    <n v="10"/>
    <n v="8630.9"/>
    <n v="86309"/>
  </r>
  <r>
    <x v="769"/>
    <x v="127"/>
    <x v="745"/>
    <x v="119"/>
    <n v="45"/>
    <s v="Female"/>
    <s v="Patna"/>
    <s v="Mobile"/>
    <s v="Electronics"/>
    <n v="6"/>
    <n v="29757.58"/>
    <n v="178545.48"/>
  </r>
  <r>
    <x v="770"/>
    <x v="30"/>
    <x v="353"/>
    <x v="254"/>
    <n v="57"/>
    <s v="Male"/>
    <s v="Hyderabad"/>
    <s v="Chair"/>
    <s v="Furniture"/>
    <n v="2"/>
    <n v="45538.2"/>
    <n v="91076.4"/>
  </r>
  <r>
    <x v="771"/>
    <x v="183"/>
    <x v="746"/>
    <x v="386"/>
    <n v="38"/>
    <s v="Male"/>
    <s v="Hyderabad"/>
    <s v="Chair"/>
    <s v="Furniture"/>
    <n v="6"/>
    <n v="19454.75"/>
    <n v="116728.5"/>
  </r>
  <r>
    <x v="772"/>
    <x v="203"/>
    <x v="747"/>
    <x v="387"/>
    <n v="56"/>
    <s v="Male"/>
    <s v="Mumbai"/>
    <s v="Chair"/>
    <s v="Furniture"/>
    <n v="3"/>
    <n v="21435.84"/>
    <n v="64307.519999999997"/>
  </r>
  <r>
    <x v="773"/>
    <x v="286"/>
    <x v="748"/>
    <x v="271"/>
    <n v="51"/>
    <s v="Male"/>
    <s v="Patna"/>
    <s v="Laptop"/>
    <s v="Electronics"/>
    <n v="1"/>
    <n v="47618.43"/>
    <n v="47618.43"/>
  </r>
  <r>
    <x v="774"/>
    <x v="152"/>
    <x v="749"/>
    <x v="209"/>
    <n v="38"/>
    <s v="Male"/>
    <s v="Kolkata"/>
    <s v="Book"/>
    <s v="Education"/>
    <n v="4"/>
    <n v="25110.560000000001"/>
    <n v="100442.24000000001"/>
  </r>
  <r>
    <x v="775"/>
    <x v="128"/>
    <x v="750"/>
    <x v="214"/>
    <n v="65"/>
    <s v="Female"/>
    <s v="Patna"/>
    <s v="Book"/>
    <s v="Education"/>
    <n v="9"/>
    <n v="797.71"/>
    <n v="7179.39"/>
  </r>
  <r>
    <x v="776"/>
    <x v="318"/>
    <x v="751"/>
    <x v="271"/>
    <n v="43"/>
    <s v="Female"/>
    <s v="Pune"/>
    <s v="Chair"/>
    <s v="Furniture"/>
    <n v="3"/>
    <n v="25235.41"/>
    <n v="75706.23"/>
  </r>
  <r>
    <x v="777"/>
    <x v="228"/>
    <x v="752"/>
    <x v="253"/>
    <n v="50"/>
    <s v="Male"/>
    <s v="Kolkata"/>
    <s v="Book"/>
    <s v="Education"/>
    <n v="8"/>
    <n v="43467"/>
    <n v="347736"/>
  </r>
  <r>
    <x v="778"/>
    <x v="1"/>
    <x v="753"/>
    <x v="157"/>
    <n v="60"/>
    <s v="Female"/>
    <s v="Bengaluru"/>
    <s v="Shoes"/>
    <s v="Fashion"/>
    <n v="9"/>
    <n v="35691.39"/>
    <n v="321222.51"/>
  </r>
  <r>
    <x v="779"/>
    <x v="182"/>
    <x v="754"/>
    <x v="338"/>
    <n v="50"/>
    <s v="Female"/>
    <s v="Gaya"/>
    <s v="Book"/>
    <s v="Education"/>
    <n v="6"/>
    <n v="28107.77"/>
    <n v="168646.62"/>
  </r>
  <r>
    <x v="780"/>
    <x v="170"/>
    <x v="755"/>
    <x v="368"/>
    <n v="59"/>
    <s v="Male"/>
    <s v="Kolkata"/>
    <s v="Rice"/>
    <s v="Grocery"/>
    <n v="6"/>
    <n v="39662.1"/>
    <n v="237972.6"/>
  </r>
  <r>
    <x v="781"/>
    <x v="160"/>
    <x v="756"/>
    <x v="291"/>
    <n v="63"/>
    <s v="Female"/>
    <s v="Kolkata"/>
    <s v="Rice"/>
    <s v="Grocery"/>
    <n v="5"/>
    <n v="14533.4"/>
    <n v="72667"/>
  </r>
  <r>
    <x v="782"/>
    <x v="191"/>
    <x v="757"/>
    <x v="388"/>
    <n v="55"/>
    <s v="Male"/>
    <s v="Mumbai"/>
    <s v="Book"/>
    <s v="Education"/>
    <n v="9"/>
    <n v="12322.26"/>
    <n v="110900.34"/>
  </r>
  <r>
    <x v="783"/>
    <x v="319"/>
    <x v="758"/>
    <x v="16"/>
    <n v="45"/>
    <s v="Male"/>
    <s v="Mumbai"/>
    <s v="Chair"/>
    <s v="Furniture"/>
    <n v="10"/>
    <n v="18178.32"/>
    <n v="181783.2"/>
  </r>
  <r>
    <x v="784"/>
    <x v="320"/>
    <x v="759"/>
    <x v="50"/>
    <n v="62"/>
    <s v="Male"/>
    <s v="Bengaluru"/>
    <s v="Shoes"/>
    <s v="Fashion"/>
    <n v="9"/>
    <n v="6282.93"/>
    <n v="56546.37"/>
  </r>
  <r>
    <x v="785"/>
    <x v="318"/>
    <x v="760"/>
    <x v="90"/>
    <n v="21"/>
    <s v="Female"/>
    <s v="Kolkata"/>
    <s v="Rice"/>
    <s v="Grocery"/>
    <n v="4"/>
    <n v="40391.300000000003"/>
    <n v="161565.20000000001"/>
  </r>
  <r>
    <x v="786"/>
    <x v="308"/>
    <x v="761"/>
    <x v="186"/>
    <n v="21"/>
    <s v="Female"/>
    <s v="Bengaluru"/>
    <s v="Shoes"/>
    <s v="Fashion"/>
    <n v="3"/>
    <n v="39157.519999999997"/>
    <n v="117472.56"/>
  </r>
  <r>
    <x v="787"/>
    <x v="61"/>
    <x v="762"/>
    <x v="247"/>
    <n v="19"/>
    <s v="Male"/>
    <s v="Patna"/>
    <s v="Book"/>
    <s v="Education"/>
    <n v="5"/>
    <n v="12334.78"/>
    <n v="61673.9"/>
  </r>
  <r>
    <x v="788"/>
    <x v="71"/>
    <x v="610"/>
    <x v="220"/>
    <n v="57"/>
    <s v="Female"/>
    <s v="Mumbai"/>
    <s v="Shoes"/>
    <s v="Fashion"/>
    <n v="9"/>
    <n v="38573.17"/>
    <n v="347158.53"/>
  </r>
  <r>
    <x v="789"/>
    <x v="124"/>
    <x v="18"/>
    <x v="198"/>
    <n v="48"/>
    <s v="Male"/>
    <s v="Bengaluru"/>
    <s v="Book"/>
    <s v="Education"/>
    <n v="6"/>
    <n v="18842.34"/>
    <n v="113054.04"/>
  </r>
  <r>
    <x v="790"/>
    <x v="142"/>
    <x v="763"/>
    <x v="212"/>
    <n v="62"/>
    <s v="Female"/>
    <s v="Kolkata"/>
    <s v="Shoes"/>
    <s v="Fashion"/>
    <n v="4"/>
    <n v="20118.349999999999"/>
    <n v="80473.399999999994"/>
  </r>
  <r>
    <x v="791"/>
    <x v="84"/>
    <x v="764"/>
    <x v="207"/>
    <n v="51"/>
    <s v="Male"/>
    <s v="Mumbai"/>
    <s v="Rice"/>
    <s v="Grocery"/>
    <n v="6"/>
    <n v="39243.449999999997"/>
    <n v="235460.7"/>
  </r>
  <r>
    <x v="792"/>
    <x v="321"/>
    <x v="765"/>
    <x v="107"/>
    <m/>
    <s v="Male"/>
    <s v="Patna"/>
    <s v="Rice"/>
    <s v="Grocery"/>
    <n v="10"/>
    <n v="15891.66"/>
    <n v="158916.6"/>
  </r>
  <r>
    <x v="793"/>
    <x v="135"/>
    <x v="766"/>
    <x v="386"/>
    <n v="47"/>
    <s v="Male"/>
    <s v="Gaya"/>
    <s v="Mobile"/>
    <s v="Electronics"/>
    <n v="1"/>
    <n v="40350.67"/>
    <n v="40350.67"/>
  </r>
  <r>
    <x v="794"/>
    <x v="144"/>
    <x v="767"/>
    <x v="343"/>
    <n v="29"/>
    <s v="Female"/>
    <s v="Mumbai"/>
    <s v="Rice"/>
    <s v="Grocery"/>
    <n v="1"/>
    <n v="47545.23"/>
    <n v="47545.23"/>
  </r>
  <r>
    <x v="795"/>
    <x v="292"/>
    <x v="768"/>
    <x v="75"/>
    <n v="30"/>
    <s v="Female"/>
    <s v="Kolkata"/>
    <s v="Book"/>
    <s v="Education"/>
    <n v="4"/>
    <n v="17304.91"/>
    <n v="69219.64"/>
  </r>
  <r>
    <x v="796"/>
    <x v="318"/>
    <x v="769"/>
    <x v="202"/>
    <n v="32"/>
    <s v="Female"/>
    <s v="Delhi"/>
    <s v="Book"/>
    <s v="Education"/>
    <n v="6"/>
    <n v="17079.990000000002"/>
    <n v="102479.94"/>
  </r>
  <r>
    <x v="797"/>
    <x v="322"/>
    <x v="770"/>
    <x v="72"/>
    <n v="57"/>
    <s v="Male"/>
    <s v="Bengaluru"/>
    <s v="Shoes"/>
    <s v="Fashion"/>
    <n v="9"/>
    <n v="44772.959999999999"/>
    <n v="402956.64"/>
  </r>
  <r>
    <x v="798"/>
    <x v="197"/>
    <x v="404"/>
    <x v="378"/>
    <n v="50"/>
    <s v="Female"/>
    <s v="Gaya"/>
    <s v="Shoes"/>
    <s v="Fashion"/>
    <n v="10"/>
    <n v="32483.32"/>
    <n v="324833.2"/>
  </r>
  <r>
    <x v="799"/>
    <x v="90"/>
    <x v="771"/>
    <x v="389"/>
    <n v="62"/>
    <s v="Male"/>
    <s v="Kolkata"/>
    <s v="Chair"/>
    <s v="Furniture"/>
    <n v="9"/>
    <n v="47699.69"/>
    <n v="429297.21"/>
  </r>
  <r>
    <x v="800"/>
    <x v="280"/>
    <x v="772"/>
    <x v="336"/>
    <n v="28"/>
    <s v="Female"/>
    <s v="Patna"/>
    <s v="Chair"/>
    <s v="Furniture"/>
    <n v="2"/>
    <n v="23127.63"/>
    <n v="46255.26"/>
  </r>
  <r>
    <x v="801"/>
    <x v="265"/>
    <x v="773"/>
    <x v="154"/>
    <n v="60"/>
    <s v="Female"/>
    <s v="Bengaluru"/>
    <s v="Shoes"/>
    <s v="Fashion"/>
    <n v="6"/>
    <n v="16882.560000000001"/>
    <n v="101295.36"/>
  </r>
  <r>
    <x v="802"/>
    <x v="140"/>
    <x v="774"/>
    <x v="218"/>
    <n v="52"/>
    <s v="Male"/>
    <s v="Hyderabad"/>
    <s v="Rice"/>
    <s v="Grocery"/>
    <n v="6"/>
    <n v="32296.32"/>
    <n v="193777.92000000001"/>
  </r>
  <r>
    <x v="803"/>
    <x v="150"/>
    <x v="775"/>
    <x v="62"/>
    <n v="30"/>
    <s v="Female"/>
    <s v="Patna"/>
    <s v="Book"/>
    <s v="Education"/>
    <n v="3"/>
    <n v="15090.15"/>
    <n v="45270.45"/>
  </r>
  <r>
    <x v="804"/>
    <x v="296"/>
    <x v="776"/>
    <x v="105"/>
    <n v="50"/>
    <s v="Female"/>
    <s v="Mumbai"/>
    <s v="Chair"/>
    <s v="Furniture"/>
    <n v="2"/>
    <n v="30197.53"/>
    <n v="60395.06"/>
  </r>
  <r>
    <x v="805"/>
    <x v="305"/>
    <x v="777"/>
    <x v="390"/>
    <n v="50"/>
    <s v="Male"/>
    <s v="Patna"/>
    <s v="Mobile"/>
    <s v="Electronics"/>
    <n v="2"/>
    <n v="41544.449999999997"/>
    <n v="83088.899999999994"/>
  </r>
  <r>
    <x v="806"/>
    <x v="119"/>
    <x v="778"/>
    <x v="391"/>
    <n v="40"/>
    <s v="Female"/>
    <s v="Hyderabad"/>
    <s v="Laptop"/>
    <s v="Electronics"/>
    <n v="8"/>
    <n v="42593.69"/>
    <n v="340749.52"/>
  </r>
  <r>
    <x v="807"/>
    <x v="146"/>
    <x v="779"/>
    <x v="349"/>
    <n v="52"/>
    <s v="Male"/>
    <s v="Delhi"/>
    <s v="Mobile"/>
    <s v="Electronics"/>
    <n v="1"/>
    <n v="26771.99"/>
    <n v="26771.99"/>
  </r>
  <r>
    <x v="808"/>
    <x v="140"/>
    <x v="780"/>
    <x v="211"/>
    <n v="44"/>
    <s v="Male"/>
    <s v="Kolkata"/>
    <s v="Rice"/>
    <s v="Grocery"/>
    <n v="9"/>
    <n v="31690.41"/>
    <n v="285213.69"/>
  </r>
  <r>
    <x v="809"/>
    <x v="323"/>
    <x v="781"/>
    <x v="7"/>
    <n v="23"/>
    <s v="Female"/>
    <s v="Patna"/>
    <s v="Rice"/>
    <s v="Grocery"/>
    <n v="6"/>
    <n v="20913.849999999999"/>
    <n v="125483.1"/>
  </r>
  <r>
    <x v="810"/>
    <x v="267"/>
    <x v="42"/>
    <x v="247"/>
    <n v="49"/>
    <s v="Male"/>
    <s v="Hyderabad"/>
    <s v="Chair"/>
    <s v="Furniture"/>
    <n v="7"/>
    <n v="36034.1"/>
    <n v="252238.7"/>
  </r>
  <r>
    <x v="811"/>
    <x v="274"/>
    <x v="782"/>
    <x v="392"/>
    <n v="28"/>
    <s v="Male"/>
    <s v="Kolkata"/>
    <s v="Mobile"/>
    <s v="Electronics"/>
    <n v="8"/>
    <n v="21646.639999999999"/>
    <n v="173173.12"/>
  </r>
  <r>
    <x v="812"/>
    <x v="192"/>
    <x v="542"/>
    <x v="302"/>
    <n v="60"/>
    <s v="Male"/>
    <s v="Bengaluru"/>
    <s v="Laptop"/>
    <s v="Electronics"/>
    <n v="1"/>
    <n v="21553.66"/>
    <n v="21553.66"/>
  </r>
  <r>
    <x v="813"/>
    <x v="249"/>
    <x v="783"/>
    <x v="146"/>
    <n v="45"/>
    <s v="Male"/>
    <s v="Mumbai"/>
    <s v="Book"/>
    <s v="Education"/>
    <n v="3"/>
    <n v="17152.2"/>
    <n v="51456.6"/>
  </r>
  <r>
    <x v="814"/>
    <x v="251"/>
    <x v="784"/>
    <x v="59"/>
    <n v="37"/>
    <s v="Female"/>
    <s v="Gaya"/>
    <s v="Rice"/>
    <s v="Grocery"/>
    <n v="1"/>
    <n v="21368.29"/>
    <n v="21368.29"/>
  </r>
  <r>
    <x v="815"/>
    <x v="243"/>
    <x v="785"/>
    <x v="393"/>
    <n v="20"/>
    <s v="Female"/>
    <s v="Bengaluru"/>
    <s v="Shoes"/>
    <s v="Fashion"/>
    <n v="7"/>
    <n v="47413.32"/>
    <n v="331893.24"/>
  </r>
  <r>
    <x v="816"/>
    <x v="67"/>
    <x v="786"/>
    <x v="344"/>
    <n v="64"/>
    <s v="Female"/>
    <s v="Gaya"/>
    <s v="Chair"/>
    <s v="Furniture"/>
    <n v="4"/>
    <n v="2716.24"/>
    <n v="10864.96"/>
  </r>
  <r>
    <x v="817"/>
    <x v="160"/>
    <x v="787"/>
    <x v="53"/>
    <n v="57"/>
    <s v="Female"/>
    <m/>
    <s v="Laptop"/>
    <s v="Electronics"/>
    <n v="2"/>
    <n v="45863.13"/>
    <n v="91726.26"/>
  </r>
  <r>
    <x v="818"/>
    <x v="154"/>
    <x v="788"/>
    <x v="6"/>
    <n v="24"/>
    <s v="Female"/>
    <s v="Bengaluru"/>
    <s v="Shoes"/>
    <s v="Fashion"/>
    <n v="5"/>
    <n v="48228.959999999999"/>
    <n v="241144.8"/>
  </r>
  <r>
    <x v="819"/>
    <x v="66"/>
    <x v="789"/>
    <x v="80"/>
    <n v="42"/>
    <s v="Male"/>
    <s v="Mumbai"/>
    <s v="Laptop"/>
    <s v="Electronics"/>
    <n v="1"/>
    <n v="31849.439999999999"/>
    <n v="31849.439999999999"/>
  </r>
  <r>
    <x v="820"/>
    <x v="324"/>
    <x v="790"/>
    <x v="385"/>
    <n v="33"/>
    <s v="Male"/>
    <s v="Gaya"/>
    <s v="Book"/>
    <s v="Education"/>
    <n v="4"/>
    <n v="8685.69"/>
    <n v="34742.76"/>
  </r>
  <r>
    <x v="821"/>
    <x v="47"/>
    <x v="791"/>
    <x v="265"/>
    <n v="44"/>
    <s v="Male"/>
    <s v="Delhi"/>
    <s v="Rice"/>
    <s v="Grocery"/>
    <n v="2"/>
    <n v="49685.64"/>
    <n v="99371.28"/>
  </r>
  <r>
    <x v="822"/>
    <x v="24"/>
    <x v="792"/>
    <x v="126"/>
    <n v="19"/>
    <s v="Male"/>
    <s v="Kolkata"/>
    <s v="Shoes"/>
    <s v="Fashion"/>
    <n v="8"/>
    <n v="10921.12"/>
    <n v="87368.960000000006"/>
  </r>
  <r>
    <x v="823"/>
    <x v="192"/>
    <x v="793"/>
    <x v="359"/>
    <n v="53"/>
    <s v="Female"/>
    <s v="Patna"/>
    <s v="Laptop"/>
    <s v="Electronics"/>
    <n v="3"/>
    <n v="33896.35"/>
    <n v="101689.05"/>
  </r>
  <r>
    <x v="824"/>
    <x v="325"/>
    <x v="794"/>
    <x v="145"/>
    <n v="30"/>
    <s v="Female"/>
    <s v="Kolkata"/>
    <s v="Shoes"/>
    <s v="Fashion"/>
    <n v="4"/>
    <n v="31512.79"/>
    <n v="126051.16"/>
  </r>
  <r>
    <x v="825"/>
    <x v="326"/>
    <x v="795"/>
    <x v="374"/>
    <n v="20"/>
    <s v="Female"/>
    <s v="Kolkata"/>
    <s v="Mobile"/>
    <s v="Electronics"/>
    <n v="6"/>
    <n v="17944.07"/>
    <n v="107664.42"/>
  </r>
  <r>
    <x v="826"/>
    <x v="237"/>
    <x v="796"/>
    <x v="0"/>
    <n v="51"/>
    <s v="Female"/>
    <s v="Gaya"/>
    <s v="Mobile"/>
    <s v="Electronics"/>
    <n v="3"/>
    <n v="14145.7"/>
    <n v="42437.1"/>
  </r>
  <r>
    <x v="827"/>
    <x v="111"/>
    <x v="797"/>
    <x v="32"/>
    <n v="62"/>
    <s v="Female"/>
    <s v="Gaya"/>
    <s v="Book"/>
    <s v="Education"/>
    <n v="3"/>
    <n v="33186.379999999997"/>
    <n v="99559.14"/>
  </r>
  <r>
    <x v="828"/>
    <x v="244"/>
    <x v="179"/>
    <x v="128"/>
    <n v="23"/>
    <s v="Male"/>
    <s v="Patna"/>
    <s v="Mobile"/>
    <s v="Electronics"/>
    <n v="5"/>
    <n v="24537.11"/>
    <n v="122685.55"/>
  </r>
  <r>
    <x v="829"/>
    <x v="165"/>
    <x v="326"/>
    <x v="22"/>
    <n v="26"/>
    <s v="Male"/>
    <s v="Kolkata"/>
    <s v="Mobile"/>
    <s v="Electronics"/>
    <n v="4"/>
    <n v="7989.47"/>
    <n v="31957.88"/>
  </r>
  <r>
    <x v="830"/>
    <x v="113"/>
    <x v="798"/>
    <x v="265"/>
    <n v="44"/>
    <s v="Female"/>
    <s v="Mumbai"/>
    <s v="Shoes"/>
    <s v="Fashion"/>
    <n v="6"/>
    <n v="9784.56"/>
    <n v="58707.360000000001"/>
  </r>
  <r>
    <x v="831"/>
    <x v="239"/>
    <x v="799"/>
    <x v="394"/>
    <n v="47"/>
    <s v="Female"/>
    <s v="Hyderabad"/>
    <s v="Laptop"/>
    <s v="Electronics"/>
    <n v="5"/>
    <n v="47021.1"/>
    <n v="235105.5"/>
  </r>
  <r>
    <x v="48"/>
    <x v="186"/>
    <x v="800"/>
    <x v="395"/>
    <n v="35"/>
    <s v="Male"/>
    <s v="Kolkata"/>
    <s v="Chair"/>
    <s v="Furniture"/>
    <n v="9"/>
    <n v="28747.47"/>
    <n v="258727.23"/>
  </r>
  <r>
    <x v="832"/>
    <x v="8"/>
    <x v="801"/>
    <x v="192"/>
    <n v="26"/>
    <s v="Male"/>
    <s v="Mumbai"/>
    <s v="Book"/>
    <s v="Education"/>
    <n v="10"/>
    <n v="35093.39"/>
    <n v="350933.9"/>
  </r>
  <r>
    <x v="833"/>
    <x v="266"/>
    <x v="802"/>
    <x v="221"/>
    <n v="43"/>
    <s v="Female"/>
    <s v="Delhi"/>
    <s v="Book"/>
    <s v="Education"/>
    <n v="3"/>
    <n v="22843.06"/>
    <n v="68529.179999999993"/>
  </r>
  <r>
    <x v="834"/>
    <x v="148"/>
    <x v="803"/>
    <x v="321"/>
    <n v="42"/>
    <s v="Female"/>
    <s v="Hyderabad"/>
    <s v="Book"/>
    <s v="Education"/>
    <n v="7"/>
    <n v="38502.79"/>
    <n v="269519.53000000003"/>
  </r>
  <r>
    <x v="835"/>
    <x v="260"/>
    <x v="804"/>
    <x v="396"/>
    <n v="32"/>
    <s v="Male"/>
    <s v="Patna"/>
    <s v="Mobile"/>
    <s v="Electronics"/>
    <n v="5"/>
    <n v="45283.42"/>
    <n v="226417.1"/>
  </r>
  <r>
    <x v="836"/>
    <x v="84"/>
    <x v="805"/>
    <x v="96"/>
    <n v="42"/>
    <s v="Female"/>
    <s v="Patna"/>
    <s v="Mobile"/>
    <s v="Electronics"/>
    <n v="6"/>
    <n v="37149.97"/>
    <n v="222899.82"/>
  </r>
  <r>
    <x v="837"/>
    <x v="230"/>
    <x v="806"/>
    <x v="178"/>
    <n v="65"/>
    <s v="Female"/>
    <s v="Kolkata"/>
    <s v="Book"/>
    <s v="Education"/>
    <n v="7"/>
    <n v="23566.47"/>
    <n v="164965.29"/>
  </r>
  <r>
    <x v="838"/>
    <x v="55"/>
    <x v="807"/>
    <x v="154"/>
    <n v="57"/>
    <s v="Male"/>
    <s v="Patna"/>
    <s v="Shoes"/>
    <s v="Fashion"/>
    <n v="10"/>
    <n v="1557.12"/>
    <n v="15571.2"/>
  </r>
  <r>
    <x v="839"/>
    <x v="285"/>
    <x v="808"/>
    <x v="397"/>
    <n v="21"/>
    <s v="Male"/>
    <s v="Patna"/>
    <s v="Book"/>
    <s v="Education"/>
    <n v="1"/>
    <n v="38929.370000000003"/>
    <n v="38929.370000000003"/>
  </r>
  <r>
    <x v="840"/>
    <x v="78"/>
    <x v="809"/>
    <x v="368"/>
    <n v="26"/>
    <s v="Male"/>
    <s v="Bengaluru"/>
    <s v="Chair"/>
    <s v="Furniture"/>
    <n v="2"/>
    <n v="43357.83"/>
    <n v="86715.66"/>
  </r>
  <r>
    <x v="841"/>
    <x v="208"/>
    <x v="810"/>
    <x v="120"/>
    <m/>
    <s v="Male"/>
    <s v="Kolkata"/>
    <s v="Rice"/>
    <s v="Grocery"/>
    <n v="9"/>
    <n v="30091.26"/>
    <n v="270821.34000000003"/>
  </r>
  <r>
    <x v="842"/>
    <x v="236"/>
    <x v="811"/>
    <x v="285"/>
    <n v="19"/>
    <s v="Male"/>
    <s v="Gaya"/>
    <s v="Chair"/>
    <s v="Furniture"/>
    <n v="10"/>
    <n v="3051.95"/>
    <n v="30519.5"/>
  </r>
  <r>
    <x v="843"/>
    <x v="290"/>
    <x v="812"/>
    <x v="206"/>
    <n v="20"/>
    <s v="Female"/>
    <s v="Mumbai"/>
    <s v="Shoes"/>
    <s v="Fashion"/>
    <n v="3"/>
    <n v="31063.57"/>
    <n v="93190.71"/>
  </r>
  <r>
    <x v="844"/>
    <x v="78"/>
    <x v="813"/>
    <x v="373"/>
    <n v="23"/>
    <s v="Male"/>
    <s v="Delhi"/>
    <s v="Rice"/>
    <s v="Grocery"/>
    <n v="10"/>
    <n v="5580.23"/>
    <n v="55802.3"/>
  </r>
  <r>
    <x v="845"/>
    <x v="166"/>
    <x v="814"/>
    <x v="268"/>
    <n v="40"/>
    <s v="Male"/>
    <s v="Pune"/>
    <s v="Book"/>
    <s v="Education"/>
    <n v="8"/>
    <n v="35859.94"/>
    <n v="286879.52"/>
  </r>
  <r>
    <x v="846"/>
    <x v="101"/>
    <x v="815"/>
    <x v="277"/>
    <n v="48"/>
    <s v="Male"/>
    <s v="Patna"/>
    <s v="Shoes"/>
    <s v="Fashion"/>
    <n v="5"/>
    <n v="47893"/>
    <n v="239465"/>
  </r>
  <r>
    <x v="847"/>
    <x v="248"/>
    <x v="816"/>
    <x v="143"/>
    <n v="37"/>
    <s v="Female"/>
    <s v="Bengaluru"/>
    <s v="Shoes"/>
    <s v="Fashion"/>
    <n v="2"/>
    <n v="47996.02"/>
    <n v="95992.04"/>
  </r>
  <r>
    <x v="848"/>
    <x v="94"/>
    <x v="817"/>
    <x v="398"/>
    <n v="24"/>
    <s v="Male"/>
    <s v="Kolkata"/>
    <s v="Shoes"/>
    <s v="Fashion"/>
    <n v="1"/>
    <n v="42500.65"/>
    <n v="42500.65"/>
  </r>
  <r>
    <x v="849"/>
    <x v="174"/>
    <x v="818"/>
    <x v="399"/>
    <n v="38"/>
    <s v="Female"/>
    <s v="Delhi"/>
    <s v="Rice"/>
    <s v="Grocery"/>
    <n v="8"/>
    <n v="7543.31"/>
    <n v="60346.48"/>
  </r>
  <r>
    <x v="850"/>
    <x v="199"/>
    <x v="819"/>
    <x v="400"/>
    <n v="54"/>
    <s v="Female"/>
    <s v="Bengaluru"/>
    <s v="Book"/>
    <s v="Education"/>
    <n v="4"/>
    <n v="7779.34"/>
    <n v="31117.360000000001"/>
  </r>
  <r>
    <x v="851"/>
    <x v="327"/>
    <x v="820"/>
    <x v="401"/>
    <n v="51"/>
    <s v="Female"/>
    <s v="Kolkata"/>
    <s v="Mobile"/>
    <s v="Electronics"/>
    <n v="6"/>
    <n v="35959.07"/>
    <n v="215754.42"/>
  </r>
  <r>
    <x v="852"/>
    <x v="95"/>
    <x v="821"/>
    <x v="33"/>
    <n v="45"/>
    <s v="Male"/>
    <s v="Patna"/>
    <s v="Mobile"/>
    <s v="Electronics"/>
    <n v="7"/>
    <n v="9471.49"/>
    <n v="66300.429999999993"/>
  </r>
  <r>
    <x v="853"/>
    <x v="328"/>
    <x v="822"/>
    <x v="210"/>
    <n v="62"/>
    <s v="Female"/>
    <s v="Gaya"/>
    <s v="Shoes"/>
    <s v="Fashion"/>
    <n v="8"/>
    <n v="26327.39"/>
    <n v="210619.12"/>
  </r>
  <r>
    <x v="854"/>
    <x v="135"/>
    <x v="551"/>
    <x v="93"/>
    <n v="63"/>
    <s v="Female"/>
    <s v="Delhi"/>
    <s v="Chair"/>
    <s v="Furniture"/>
    <n v="9"/>
    <n v="48313.36"/>
    <n v="434820.24"/>
  </r>
  <r>
    <x v="855"/>
    <x v="4"/>
    <x v="823"/>
    <x v="164"/>
    <n v="19"/>
    <s v="Female"/>
    <s v="Pune"/>
    <s v="Laptop"/>
    <s v="Electronics"/>
    <n v="2"/>
    <n v="45217.919999999998"/>
    <n v="90435.839999999997"/>
  </r>
  <r>
    <x v="856"/>
    <x v="205"/>
    <x v="824"/>
    <x v="292"/>
    <n v="26"/>
    <s v="Female"/>
    <s v="Patna"/>
    <s v="Chair"/>
    <s v="Furniture"/>
    <n v="2"/>
    <n v="40130.21"/>
    <n v="80260.42"/>
  </r>
  <r>
    <x v="857"/>
    <x v="152"/>
    <x v="825"/>
    <x v="3"/>
    <n v="49"/>
    <s v="Female"/>
    <s v="Hyderabad"/>
    <s v="Chair"/>
    <s v="Furniture"/>
    <n v="7"/>
    <n v="283.10000000000002"/>
    <n v="1981.7"/>
  </r>
  <r>
    <x v="858"/>
    <x v="192"/>
    <x v="826"/>
    <x v="32"/>
    <n v="58"/>
    <s v="Male"/>
    <s v="Bengaluru"/>
    <s v="Chair"/>
    <s v="Furniture"/>
    <n v="5"/>
    <n v="7521.13"/>
    <n v="37605.65"/>
  </r>
  <r>
    <x v="859"/>
    <x v="234"/>
    <x v="827"/>
    <x v="402"/>
    <n v="38"/>
    <s v="Male"/>
    <s v="Pune"/>
    <s v="Shoes"/>
    <s v="Fashion"/>
    <n v="5"/>
    <n v="8055.03"/>
    <n v="40275.15"/>
  </r>
  <r>
    <x v="860"/>
    <x v="288"/>
    <x v="200"/>
    <x v="401"/>
    <n v="64"/>
    <s v="Male"/>
    <s v="Delhi"/>
    <s v="Book"/>
    <s v="Education"/>
    <n v="4"/>
    <n v="28263.33"/>
    <n v="113053.32"/>
  </r>
  <r>
    <x v="861"/>
    <x v="200"/>
    <x v="828"/>
    <x v="5"/>
    <n v="33"/>
    <s v="Female"/>
    <s v="Kolkata"/>
    <s v="Shoes"/>
    <s v="Fashion"/>
    <n v="4"/>
    <n v="12941.53"/>
    <n v="51766.12"/>
  </r>
  <r>
    <x v="862"/>
    <x v="23"/>
    <x v="829"/>
    <x v="132"/>
    <n v="22"/>
    <s v="Female"/>
    <s v="Pune"/>
    <s v="Book"/>
    <s v="Education"/>
    <n v="1"/>
    <n v="27918.98"/>
    <n v="27918.98"/>
  </r>
  <r>
    <x v="863"/>
    <x v="152"/>
    <x v="830"/>
    <x v="375"/>
    <n v="55"/>
    <s v="Male"/>
    <s v="Patna"/>
    <s v="Mobile"/>
    <s v="Electronics"/>
    <n v="3"/>
    <n v="21349.35"/>
    <n v="64048.05"/>
  </r>
  <r>
    <x v="864"/>
    <x v="198"/>
    <x v="831"/>
    <x v="293"/>
    <n v="35"/>
    <s v="Female"/>
    <s v="Mumbai"/>
    <s v="Mobile"/>
    <s v="Electronics"/>
    <n v="5"/>
    <n v="27648.52"/>
    <n v="138242.6"/>
  </r>
  <r>
    <x v="865"/>
    <x v="53"/>
    <x v="832"/>
    <x v="204"/>
    <n v="36"/>
    <s v="Male"/>
    <s v="Hyderabad"/>
    <s v="Mobile"/>
    <s v="Electronics"/>
    <n v="5"/>
    <n v="39484.31"/>
    <n v="197421.55"/>
  </r>
  <r>
    <x v="866"/>
    <x v="277"/>
    <x v="670"/>
    <x v="175"/>
    <n v="25"/>
    <s v="Male"/>
    <s v="Delhi"/>
    <s v="Chair"/>
    <s v="Furniture"/>
    <n v="6"/>
    <n v="2417.66"/>
    <n v="14505.96"/>
  </r>
  <r>
    <x v="867"/>
    <x v="15"/>
    <x v="833"/>
    <x v="307"/>
    <n v="36"/>
    <s v="Female"/>
    <s v="Mumbai"/>
    <s v="Rice"/>
    <s v="Grocery"/>
    <n v="5"/>
    <n v="40104.71"/>
    <n v="200523.55"/>
  </r>
  <r>
    <x v="868"/>
    <x v="91"/>
    <x v="834"/>
    <x v="398"/>
    <n v="37"/>
    <s v="Male"/>
    <s v="Bengaluru"/>
    <s v="Book"/>
    <s v="Education"/>
    <n v="4"/>
    <n v="22929.61"/>
    <n v="91718.44"/>
  </r>
  <r>
    <x v="869"/>
    <x v="329"/>
    <x v="835"/>
    <x v="227"/>
    <n v="48"/>
    <s v="Female"/>
    <s v="Mumbai"/>
    <s v="Rice"/>
    <s v="Grocery"/>
    <n v="10"/>
    <n v="23757.31"/>
    <n v="237573.1"/>
  </r>
  <r>
    <x v="870"/>
    <x v="330"/>
    <x v="836"/>
    <x v="398"/>
    <n v="40"/>
    <s v="Male"/>
    <s v="Hyderabad"/>
    <s v="Laptop"/>
    <s v="Electronics"/>
    <n v="7"/>
    <n v="6769.87"/>
    <n v="47389.09"/>
  </r>
  <r>
    <x v="871"/>
    <x v="331"/>
    <x v="837"/>
    <x v="285"/>
    <n v="55"/>
    <s v="Male"/>
    <s v="Mumbai"/>
    <s v="Mobile"/>
    <s v="Electronics"/>
    <n v="2"/>
    <n v="7104.93"/>
    <n v="14209.86"/>
  </r>
  <r>
    <x v="872"/>
    <x v="282"/>
    <x v="838"/>
    <x v="261"/>
    <n v="19"/>
    <s v="Female"/>
    <s v="Gaya"/>
    <s v="Book"/>
    <s v="Education"/>
    <n v="2"/>
    <n v="35430.53"/>
    <n v="70861.06"/>
  </r>
  <r>
    <x v="873"/>
    <x v="260"/>
    <x v="24"/>
    <x v="140"/>
    <n v="43"/>
    <s v="Female"/>
    <s v="Hyderabad"/>
    <s v="Rice"/>
    <s v="Grocery"/>
    <n v="8"/>
    <n v="44811.59"/>
    <n v="358492.72"/>
  </r>
  <r>
    <x v="874"/>
    <x v="129"/>
    <x v="839"/>
    <x v="201"/>
    <n v="65"/>
    <s v="Female"/>
    <s v="Delhi"/>
    <s v="Shoes"/>
    <s v="Fashion"/>
    <n v="10"/>
    <n v="16661.37"/>
    <n v="166613.70000000001"/>
  </r>
  <r>
    <x v="875"/>
    <x v="36"/>
    <x v="840"/>
    <x v="242"/>
    <n v="54"/>
    <s v="Male"/>
    <s v="Kolkata"/>
    <s v="Mobile"/>
    <s v="Electronics"/>
    <n v="7"/>
    <n v="14207.04"/>
    <n v="99449.279999999999"/>
  </r>
  <r>
    <x v="876"/>
    <x v="204"/>
    <x v="841"/>
    <x v="403"/>
    <n v="43"/>
    <s v="Female"/>
    <s v="Mumbai"/>
    <s v="Shoes"/>
    <s v="Fashion"/>
    <n v="8"/>
    <n v="3220.99"/>
    <n v="25767.919999999998"/>
  </r>
  <r>
    <x v="877"/>
    <x v="332"/>
    <x v="842"/>
    <x v="404"/>
    <n v="34"/>
    <s v="Male"/>
    <s v="Pune"/>
    <s v="Chair"/>
    <s v="Furniture"/>
    <n v="1"/>
    <n v="21572.48"/>
    <n v="21572.48"/>
  </r>
  <r>
    <x v="878"/>
    <x v="54"/>
    <x v="843"/>
    <x v="405"/>
    <n v="21"/>
    <s v="Female"/>
    <s v="Pune"/>
    <s v="Rice"/>
    <s v="Grocery"/>
    <n v="8"/>
    <n v="38808.879999999997"/>
    <n v="310471.03999999998"/>
  </r>
  <r>
    <x v="879"/>
    <x v="184"/>
    <x v="844"/>
    <x v="165"/>
    <n v="45"/>
    <s v="Male"/>
    <s v="Delhi"/>
    <s v="Book"/>
    <s v="Education"/>
    <n v="2"/>
    <n v="6525.25"/>
    <n v="13050.5"/>
  </r>
  <r>
    <x v="880"/>
    <x v="108"/>
    <x v="845"/>
    <x v="406"/>
    <n v="55"/>
    <s v="Female"/>
    <s v="Pune"/>
    <s v="Rice"/>
    <s v="Grocery"/>
    <n v="9"/>
    <n v="36721.83"/>
    <n v="330496.46999999997"/>
  </r>
  <r>
    <x v="881"/>
    <x v="14"/>
    <x v="846"/>
    <x v="254"/>
    <n v="30"/>
    <s v="Male"/>
    <s v="Mumbai"/>
    <s v="Rice"/>
    <s v="Grocery"/>
    <n v="1"/>
    <n v="16506.48"/>
    <n v="16506.48"/>
  </r>
  <r>
    <x v="882"/>
    <x v="219"/>
    <x v="847"/>
    <x v="4"/>
    <n v="19"/>
    <s v="Female"/>
    <s v="Patna"/>
    <s v="Book"/>
    <s v="Education"/>
    <n v="4"/>
    <n v="45273.26"/>
    <n v="181093.04"/>
  </r>
  <r>
    <x v="883"/>
    <x v="42"/>
    <x v="848"/>
    <x v="298"/>
    <n v="56"/>
    <s v="Female"/>
    <s v="Delhi"/>
    <s v="Rice"/>
    <s v="Grocery"/>
    <n v="1"/>
    <n v="15061.67"/>
    <n v="15061.67"/>
  </r>
  <r>
    <x v="884"/>
    <x v="330"/>
    <x v="849"/>
    <x v="112"/>
    <n v="25"/>
    <s v="Female"/>
    <s v="Pune"/>
    <s v="Shoes"/>
    <s v="Fashion"/>
    <n v="3"/>
    <n v="30814.91"/>
    <n v="92444.73"/>
  </r>
  <r>
    <x v="885"/>
    <x v="297"/>
    <x v="850"/>
    <x v="407"/>
    <n v="24"/>
    <s v="Male"/>
    <s v="Hyderabad"/>
    <s v="Book"/>
    <s v="Education"/>
    <n v="8"/>
    <n v="36507.56"/>
    <n v="292060.48"/>
  </r>
  <r>
    <x v="886"/>
    <x v="35"/>
    <x v="851"/>
    <x v="197"/>
    <n v="20"/>
    <s v="Female"/>
    <s v="Mumbai"/>
    <s v="Book"/>
    <s v="Education"/>
    <n v="1"/>
    <n v="31247.14"/>
    <n v="31247.14"/>
  </r>
  <r>
    <x v="887"/>
    <x v="326"/>
    <x v="852"/>
    <x v="223"/>
    <n v="49"/>
    <s v="Male"/>
    <s v="Patna"/>
    <s v="Rice"/>
    <s v="Grocery"/>
    <n v="3"/>
    <n v="15350"/>
    <n v="46050"/>
  </r>
  <r>
    <x v="888"/>
    <x v="138"/>
    <x v="853"/>
    <x v="322"/>
    <n v="58"/>
    <s v="Male"/>
    <s v="Patna"/>
    <s v="Chair"/>
    <s v="Furniture"/>
    <n v="9"/>
    <n v="7148.05"/>
    <n v="64332.45"/>
  </r>
  <r>
    <x v="889"/>
    <x v="89"/>
    <x v="854"/>
    <x v="39"/>
    <n v="20"/>
    <s v="Female"/>
    <s v="Patna"/>
    <s v="Laptop"/>
    <s v="Electronics"/>
    <n v="8"/>
    <n v="25411.08"/>
    <n v="203288.64"/>
  </r>
  <r>
    <x v="890"/>
    <x v="81"/>
    <x v="855"/>
    <x v="212"/>
    <n v="64"/>
    <s v="Male"/>
    <s v="Pune"/>
    <s v="Shoes"/>
    <s v="Fashion"/>
    <n v="10"/>
    <n v="28254.51"/>
    <n v="282545.09999999998"/>
  </r>
  <r>
    <x v="891"/>
    <x v="145"/>
    <x v="856"/>
    <x v="408"/>
    <m/>
    <s v="Female"/>
    <m/>
    <s v="Laptop"/>
    <s v="Electronics"/>
    <n v="5"/>
    <n v="5069.79"/>
    <n v="25348.95"/>
  </r>
  <r>
    <x v="892"/>
    <x v="64"/>
    <x v="857"/>
    <x v="409"/>
    <n v="39"/>
    <s v="Female"/>
    <s v="Bengaluru"/>
    <s v="Mobile"/>
    <s v="Electronics"/>
    <n v="3"/>
    <n v="39619.15"/>
    <n v="118857.45"/>
  </r>
  <r>
    <x v="893"/>
    <x v="149"/>
    <x v="858"/>
    <x v="240"/>
    <n v="41"/>
    <s v="Female"/>
    <s v="Delhi"/>
    <s v="Laptop"/>
    <s v="Electronics"/>
    <n v="7"/>
    <n v="42494.73"/>
    <n v="297463.11"/>
  </r>
  <r>
    <x v="894"/>
    <x v="86"/>
    <x v="859"/>
    <x v="120"/>
    <n v="56"/>
    <s v="Male"/>
    <s v="Patna"/>
    <s v="Shoes"/>
    <s v="Fashion"/>
    <n v="6"/>
    <n v="24739.29"/>
    <n v="148435.74"/>
  </r>
  <r>
    <x v="895"/>
    <x v="108"/>
    <x v="860"/>
    <x v="69"/>
    <n v="21"/>
    <s v="Male"/>
    <s v="Gaya"/>
    <s v="Chair"/>
    <s v="Furniture"/>
    <n v="3"/>
    <n v="43166.95"/>
    <n v="129500.85"/>
  </r>
  <r>
    <x v="896"/>
    <x v="139"/>
    <x v="861"/>
    <x v="402"/>
    <n v="49"/>
    <s v="Male"/>
    <s v="Delhi"/>
    <s v="Chair"/>
    <s v="Furniture"/>
    <n v="6"/>
    <n v="43613.07"/>
    <n v="261678.42"/>
  </r>
  <r>
    <x v="897"/>
    <x v="297"/>
    <x v="862"/>
    <x v="410"/>
    <n v="36"/>
    <s v="Male"/>
    <s v="Hyderabad"/>
    <s v="Chair"/>
    <s v="Furniture"/>
    <n v="2"/>
    <n v="20357.349999999999"/>
    <n v="40714.699999999997"/>
  </r>
  <r>
    <x v="898"/>
    <x v="333"/>
    <x v="863"/>
    <x v="242"/>
    <n v="33"/>
    <s v="Male"/>
    <s v="Mumbai"/>
    <s v="Chair"/>
    <s v="Furniture"/>
    <n v="5"/>
    <n v="40193.89"/>
    <n v="200969.45"/>
  </r>
  <r>
    <x v="899"/>
    <x v="241"/>
    <x v="864"/>
    <x v="277"/>
    <n v="55"/>
    <s v="Male"/>
    <s v="Hyderabad"/>
    <s v="Chair"/>
    <s v="Furniture"/>
    <n v="2"/>
    <n v="9063.83"/>
    <n v="18127.66"/>
  </r>
  <r>
    <x v="900"/>
    <x v="299"/>
    <x v="865"/>
    <x v="5"/>
    <n v="64"/>
    <s v="Female"/>
    <s v="Delhi"/>
    <s v="Laptop"/>
    <s v="Electronics"/>
    <n v="5"/>
    <n v="21830.06"/>
    <n v="109150.3"/>
  </r>
  <r>
    <x v="901"/>
    <x v="199"/>
    <x v="866"/>
    <x v="400"/>
    <n v="48"/>
    <s v="Female"/>
    <s v="Hyderabad"/>
    <s v="Rice"/>
    <s v="Grocery"/>
    <n v="2"/>
    <n v="39424.04"/>
    <n v="78848.08"/>
  </r>
  <r>
    <x v="902"/>
    <x v="224"/>
    <x v="867"/>
    <x v="37"/>
    <n v="55"/>
    <s v="Female"/>
    <s v="Mumbai"/>
    <s v="Rice"/>
    <s v="Grocery"/>
    <n v="2"/>
    <n v="30743.1"/>
    <n v="61486.2"/>
  </r>
  <r>
    <x v="903"/>
    <x v="109"/>
    <x v="868"/>
    <x v="209"/>
    <n v="49"/>
    <s v="Male"/>
    <s v="Gaya"/>
    <s v="Laptop"/>
    <s v="Electronics"/>
    <n v="3"/>
    <n v="10131.58"/>
    <n v="30394.74"/>
  </r>
  <r>
    <x v="904"/>
    <x v="170"/>
    <x v="869"/>
    <x v="276"/>
    <n v="28"/>
    <s v="Female"/>
    <s v="Patna"/>
    <s v="Book"/>
    <s v="Education"/>
    <n v="1"/>
    <n v="20875.52"/>
    <n v="20875.52"/>
  </r>
  <r>
    <x v="905"/>
    <x v="199"/>
    <x v="459"/>
    <x v="327"/>
    <n v="22"/>
    <s v="Female"/>
    <s v="Pune"/>
    <s v="Shoes"/>
    <s v="Fashion"/>
    <n v="3"/>
    <n v="43152.69"/>
    <n v="129458.07"/>
  </r>
  <r>
    <x v="906"/>
    <x v="320"/>
    <x v="870"/>
    <x v="340"/>
    <n v="58"/>
    <s v="Female"/>
    <s v="Hyderabad"/>
    <s v="Shoes"/>
    <s v="Fashion"/>
    <n v="1"/>
    <n v="3239.94"/>
    <n v="3239.94"/>
  </r>
  <r>
    <x v="907"/>
    <x v="47"/>
    <x v="871"/>
    <x v="64"/>
    <n v="36"/>
    <s v="Female"/>
    <s v="Mumbai"/>
    <s v="Shoes"/>
    <s v="Fashion"/>
    <n v="1"/>
    <n v="10625.65"/>
    <n v="10625.65"/>
  </r>
  <r>
    <x v="908"/>
    <x v="240"/>
    <x v="872"/>
    <x v="56"/>
    <n v="32"/>
    <s v="Female"/>
    <s v="Pune"/>
    <s v="Mobile"/>
    <s v="Electronics"/>
    <n v="3"/>
    <n v="30169.38"/>
    <n v="90508.14"/>
  </r>
  <r>
    <x v="909"/>
    <x v="266"/>
    <x v="873"/>
    <x v="339"/>
    <n v="29"/>
    <s v="Female"/>
    <s v="Patna"/>
    <s v="Mobile"/>
    <s v="Electronics"/>
    <n v="2"/>
    <n v="29914.46"/>
    <n v="59828.92"/>
  </r>
  <r>
    <x v="910"/>
    <x v="149"/>
    <x v="874"/>
    <x v="343"/>
    <n v="41"/>
    <s v="Female"/>
    <s v="Pune"/>
    <s v="Shoes"/>
    <s v="Fashion"/>
    <n v="5"/>
    <n v="30991.63"/>
    <n v="154958.15"/>
  </r>
  <r>
    <x v="911"/>
    <x v="259"/>
    <x v="706"/>
    <x v="371"/>
    <n v="36"/>
    <s v="Female"/>
    <s v="Bengaluru"/>
    <s v="Mobile"/>
    <s v="Electronics"/>
    <n v="7"/>
    <n v="15799.46"/>
    <n v="110596.22"/>
  </r>
  <r>
    <x v="912"/>
    <x v="11"/>
    <x v="875"/>
    <x v="258"/>
    <n v="30"/>
    <s v="Male"/>
    <s v="Delhi"/>
    <s v="Mobile"/>
    <s v="Electronics"/>
    <n v="6"/>
    <n v="10404.98"/>
    <n v="62429.88"/>
  </r>
  <r>
    <x v="913"/>
    <x v="16"/>
    <x v="876"/>
    <x v="411"/>
    <n v="59"/>
    <s v="Male"/>
    <s v="Hyderabad"/>
    <s v="Book"/>
    <s v="Education"/>
    <n v="1"/>
    <n v="21496.95"/>
    <n v="21496.95"/>
  </r>
  <r>
    <x v="914"/>
    <x v="331"/>
    <x v="877"/>
    <x v="329"/>
    <n v="33"/>
    <s v="Male"/>
    <s v="Gaya"/>
    <s v="Rice"/>
    <s v="Grocery"/>
    <n v="7"/>
    <n v="42785.56"/>
    <n v="299498.92"/>
  </r>
  <r>
    <x v="915"/>
    <x v="301"/>
    <x v="878"/>
    <x v="370"/>
    <n v="50"/>
    <s v="Male"/>
    <s v="Bengaluru"/>
    <s v="Rice"/>
    <s v="Grocery"/>
    <n v="10"/>
    <n v="9123.6"/>
    <n v="91236"/>
  </r>
  <r>
    <x v="916"/>
    <x v="244"/>
    <x v="879"/>
    <x v="402"/>
    <n v="62"/>
    <s v="Female"/>
    <s v="Delhi"/>
    <s v="Mobile"/>
    <s v="Electronics"/>
    <n v="6"/>
    <n v="35834.15"/>
    <n v="215004.9"/>
  </r>
  <r>
    <x v="917"/>
    <x v="82"/>
    <x v="880"/>
    <x v="36"/>
    <n v="52"/>
    <s v="Female"/>
    <s v="Delhi"/>
    <s v="Book"/>
    <s v="Education"/>
    <n v="3"/>
    <n v="653.97"/>
    <n v="1961.91"/>
  </r>
  <r>
    <x v="918"/>
    <x v="296"/>
    <x v="881"/>
    <x v="369"/>
    <n v="54"/>
    <s v="Male"/>
    <s v="Kolkata"/>
    <s v="Mobile"/>
    <s v="Electronics"/>
    <n v="3"/>
    <n v="3846.65"/>
    <n v="11539.95"/>
  </r>
  <r>
    <x v="919"/>
    <x v="186"/>
    <x v="882"/>
    <x v="412"/>
    <n v="39"/>
    <s v="Female"/>
    <s v="Bengaluru"/>
    <s v="Rice"/>
    <s v="Grocery"/>
    <n v="10"/>
    <n v="40522.559999999998"/>
    <n v="405225.6"/>
  </r>
  <r>
    <x v="920"/>
    <x v="295"/>
    <x v="883"/>
    <x v="93"/>
    <n v="57"/>
    <s v="Male"/>
    <s v="Mumbai"/>
    <s v="Shoes"/>
    <s v="Fashion"/>
    <n v="4"/>
    <n v="39917.24"/>
    <n v="159668.96"/>
  </r>
  <r>
    <x v="921"/>
    <x v="52"/>
    <x v="884"/>
    <x v="242"/>
    <n v="65"/>
    <s v="Female"/>
    <s v="Delhi"/>
    <s v="Rice"/>
    <s v="Grocery"/>
    <n v="1"/>
    <n v="23886.69"/>
    <n v="23886.69"/>
  </r>
  <r>
    <x v="922"/>
    <x v="228"/>
    <x v="885"/>
    <x v="413"/>
    <n v="32"/>
    <s v="Female"/>
    <s v="Bengaluru"/>
    <s v="Shoes"/>
    <s v="Fashion"/>
    <n v="1"/>
    <n v="46629.03"/>
    <n v="46629.03"/>
  </r>
  <r>
    <x v="923"/>
    <x v="284"/>
    <x v="886"/>
    <x v="200"/>
    <n v="50"/>
    <s v="Male"/>
    <s v="Mumbai"/>
    <s v="Laptop"/>
    <s v="Electronics"/>
    <n v="4"/>
    <n v="27478.45"/>
    <n v="109913.8"/>
  </r>
  <r>
    <x v="924"/>
    <x v="334"/>
    <x v="887"/>
    <x v="8"/>
    <n v="50"/>
    <s v="Female"/>
    <s v="Hyderabad"/>
    <s v="Laptop"/>
    <s v="Electronics"/>
    <n v="8"/>
    <n v="4925.05"/>
    <n v="39400.400000000001"/>
  </r>
  <r>
    <x v="925"/>
    <x v="175"/>
    <x v="278"/>
    <x v="121"/>
    <n v="63"/>
    <s v="Male"/>
    <s v="Kolkata"/>
    <s v="Shoes"/>
    <s v="Fashion"/>
    <n v="8"/>
    <n v="35023.64"/>
    <n v="280189.12"/>
  </r>
  <r>
    <x v="926"/>
    <x v="163"/>
    <x v="888"/>
    <x v="414"/>
    <n v="37"/>
    <s v="Female"/>
    <s v="Delhi"/>
    <s v="Chair"/>
    <s v="Furniture"/>
    <n v="2"/>
    <n v="49387.199999999997"/>
    <n v="98774.399999999994"/>
  </r>
  <r>
    <x v="927"/>
    <x v="335"/>
    <x v="889"/>
    <x v="415"/>
    <n v="65"/>
    <s v="Female"/>
    <s v="Kolkata"/>
    <s v="Rice"/>
    <s v="Grocery"/>
    <n v="4"/>
    <n v="30607.95"/>
    <n v="122431.8"/>
  </r>
  <r>
    <x v="928"/>
    <x v="29"/>
    <x v="873"/>
    <x v="416"/>
    <n v="40"/>
    <s v="Male"/>
    <s v="Patna"/>
    <s v="Chair"/>
    <s v="Furniture"/>
    <n v="10"/>
    <n v="7627.77"/>
    <n v="76277.7"/>
  </r>
  <r>
    <x v="929"/>
    <x v="328"/>
    <x v="819"/>
    <x v="97"/>
    <n v="30"/>
    <s v="Male"/>
    <s v="Pune"/>
    <s v="Shoes"/>
    <s v="Fashion"/>
    <n v="3"/>
    <n v="44146.06"/>
    <n v="132438.18"/>
  </r>
  <r>
    <x v="930"/>
    <x v="247"/>
    <x v="890"/>
    <x v="54"/>
    <n v="62"/>
    <s v="Male"/>
    <s v="Bengaluru"/>
    <s v="Laptop"/>
    <s v="Electronics"/>
    <n v="7"/>
    <n v="31015.64"/>
    <n v="217109.48"/>
  </r>
  <r>
    <x v="931"/>
    <x v="260"/>
    <x v="891"/>
    <x v="159"/>
    <n v="43"/>
    <s v="Male"/>
    <s v="Hyderabad"/>
    <s v="Laptop"/>
    <s v="Electronics"/>
    <n v="1"/>
    <n v="47743.08"/>
    <n v="47743.08"/>
  </r>
  <r>
    <x v="932"/>
    <x v="336"/>
    <x v="892"/>
    <x v="72"/>
    <n v="35"/>
    <s v="Male"/>
    <s v="Gaya"/>
    <s v="Laptop"/>
    <s v="Electronics"/>
    <n v="10"/>
    <n v="12754.35"/>
    <n v="127543.5"/>
  </r>
  <r>
    <x v="933"/>
    <x v="175"/>
    <x v="893"/>
    <x v="215"/>
    <n v="53"/>
    <s v="Male"/>
    <s v="Hyderabad"/>
    <s v="Laptop"/>
    <s v="Electronics"/>
    <n v="7"/>
    <n v="45883.95"/>
    <n v="321187.65000000002"/>
  </r>
  <r>
    <x v="934"/>
    <x v="287"/>
    <x v="894"/>
    <x v="363"/>
    <n v="64"/>
    <s v="Male"/>
    <s v="Pune"/>
    <s v="Laptop"/>
    <s v="Electronics"/>
    <n v="5"/>
    <n v="16990.849999999999"/>
    <n v="84954.25"/>
  </r>
  <r>
    <x v="935"/>
    <x v="160"/>
    <x v="895"/>
    <x v="268"/>
    <n v="20"/>
    <s v="Male"/>
    <s v="Mumbai"/>
    <s v="Chair"/>
    <s v="Furniture"/>
    <n v="2"/>
    <n v="20191.53"/>
    <n v="40383.06"/>
  </r>
  <r>
    <x v="936"/>
    <x v="332"/>
    <x v="896"/>
    <x v="331"/>
    <n v="26"/>
    <s v="Male"/>
    <s v="Delhi"/>
    <s v="Mobile"/>
    <s v="Electronics"/>
    <n v="8"/>
    <n v="46866.95"/>
    <n v="374935.6"/>
  </r>
  <r>
    <x v="937"/>
    <x v="337"/>
    <x v="897"/>
    <x v="417"/>
    <n v="62"/>
    <s v="Female"/>
    <s v="Hyderabad"/>
    <s v="Mobile"/>
    <s v="Electronics"/>
    <n v="8"/>
    <n v="20319.29"/>
    <n v="162554.32"/>
  </r>
  <r>
    <x v="938"/>
    <x v="284"/>
    <x v="898"/>
    <x v="273"/>
    <n v="61"/>
    <s v="Male"/>
    <s v="Hyderabad"/>
    <s v="Book"/>
    <s v="Education"/>
    <n v="6"/>
    <n v="31857.18"/>
    <n v="191143.08"/>
  </r>
  <r>
    <x v="939"/>
    <x v="151"/>
    <x v="899"/>
    <x v="360"/>
    <n v="64"/>
    <s v="Female"/>
    <s v="Bengaluru"/>
    <s v="Mobile"/>
    <s v="Electronics"/>
    <n v="2"/>
    <n v="4160.7700000000004"/>
    <n v="8321.5400000000009"/>
  </r>
  <r>
    <x v="940"/>
    <x v="338"/>
    <x v="900"/>
    <x v="418"/>
    <n v="40"/>
    <s v="Male"/>
    <s v="Kolkata"/>
    <s v="Book"/>
    <s v="Education"/>
    <n v="10"/>
    <n v="47314.42"/>
    <n v="473144.2"/>
  </r>
  <r>
    <x v="941"/>
    <x v="163"/>
    <x v="901"/>
    <x v="255"/>
    <m/>
    <s v="Male"/>
    <s v="Pune"/>
    <s v="Laptop"/>
    <s v="Electronics"/>
    <n v="9"/>
    <n v="34569.56"/>
    <n v="311126.03999999998"/>
  </r>
  <r>
    <x v="942"/>
    <x v="338"/>
    <x v="902"/>
    <x v="113"/>
    <n v="22"/>
    <s v="Male"/>
    <s v="Pune"/>
    <s v="Mobile"/>
    <s v="Electronics"/>
    <n v="8"/>
    <n v="29747.29"/>
    <n v="237978.32"/>
  </r>
  <r>
    <x v="943"/>
    <x v="88"/>
    <x v="903"/>
    <x v="379"/>
    <n v="48"/>
    <s v="Male"/>
    <s v="Delhi"/>
    <s v="Shoes"/>
    <s v="Fashion"/>
    <n v="8"/>
    <n v="24450.18"/>
    <n v="195601.44"/>
  </r>
  <r>
    <x v="944"/>
    <x v="8"/>
    <x v="904"/>
    <x v="366"/>
    <n v="53"/>
    <s v="Female"/>
    <s v="Kolkata"/>
    <s v="Mobile"/>
    <s v="Electronics"/>
    <n v="4"/>
    <n v="13994.12"/>
    <n v="55976.480000000003"/>
  </r>
  <r>
    <x v="945"/>
    <x v="218"/>
    <x v="905"/>
    <x v="348"/>
    <n v="36"/>
    <s v="Male"/>
    <s v="Mumbai"/>
    <s v="Shoes"/>
    <s v="Fashion"/>
    <n v="9"/>
    <n v="23583.66"/>
    <n v="212252.94"/>
  </r>
  <r>
    <x v="946"/>
    <x v="249"/>
    <x v="906"/>
    <x v="9"/>
    <n v="21"/>
    <s v="Male"/>
    <s v="Hyderabad"/>
    <s v="Shoes"/>
    <s v="Fashion"/>
    <n v="3"/>
    <n v="25138.65"/>
    <n v="75415.95"/>
  </r>
  <r>
    <x v="947"/>
    <x v="272"/>
    <x v="907"/>
    <x v="419"/>
    <n v="43"/>
    <s v="Male"/>
    <s v="Mumbai"/>
    <s v="Mobile"/>
    <s v="Electronics"/>
    <n v="3"/>
    <n v="25618.42"/>
    <n v="76855.259999999995"/>
  </r>
  <r>
    <x v="948"/>
    <x v="36"/>
    <x v="908"/>
    <x v="80"/>
    <n v="59"/>
    <s v="Male"/>
    <s v="Hyderabad"/>
    <s v="Shoes"/>
    <s v="Fashion"/>
    <n v="3"/>
    <n v="42044.69"/>
    <n v="126134.07"/>
  </r>
  <r>
    <x v="949"/>
    <x v="24"/>
    <x v="909"/>
    <x v="15"/>
    <n v="65"/>
    <s v="Female"/>
    <s v="Mumbai"/>
    <s v="Rice"/>
    <s v="Grocery"/>
    <n v="9"/>
    <n v="33475.97"/>
    <n v="301283.73"/>
  </r>
  <r>
    <x v="950"/>
    <x v="192"/>
    <x v="494"/>
    <x v="323"/>
    <n v="46"/>
    <s v="Female"/>
    <s v="Kolkata"/>
    <s v="Rice"/>
    <s v="Grocery"/>
    <n v="5"/>
    <n v="29215.06"/>
    <n v="146075.29999999999"/>
  </r>
  <r>
    <x v="48"/>
    <x v="172"/>
    <x v="535"/>
    <x v="266"/>
    <n v="62"/>
    <s v="Male"/>
    <s v="Bengaluru"/>
    <s v="Mobile"/>
    <s v="Electronics"/>
    <n v="1"/>
    <n v="34619.769999999997"/>
    <n v="34619.769999999997"/>
  </r>
  <r>
    <x v="951"/>
    <x v="143"/>
    <x v="910"/>
    <x v="254"/>
    <n v="65"/>
    <s v="Female"/>
    <s v="Mumbai"/>
    <s v="Book"/>
    <s v="Education"/>
    <n v="9"/>
    <n v="33480.07"/>
    <n v="301320.63"/>
  </r>
  <r>
    <x v="952"/>
    <x v="39"/>
    <x v="911"/>
    <x v="406"/>
    <n v="40"/>
    <s v="Female"/>
    <s v="Gaya"/>
    <s v="Shoes"/>
    <s v="Fashion"/>
    <n v="10"/>
    <n v="8532.9"/>
    <n v="85329"/>
  </r>
  <r>
    <x v="953"/>
    <x v="274"/>
    <x v="912"/>
    <x v="179"/>
    <n v="49"/>
    <s v="Female"/>
    <s v="Gaya"/>
    <s v="Laptop"/>
    <s v="Electronics"/>
    <n v="7"/>
    <n v="31899.759999999998"/>
    <n v="223298.32"/>
  </r>
  <r>
    <x v="954"/>
    <x v="259"/>
    <x v="913"/>
    <x v="216"/>
    <n v="48"/>
    <s v="Female"/>
    <s v="Bengaluru"/>
    <s v="Chair"/>
    <s v="Furniture"/>
    <n v="5"/>
    <n v="30847.69"/>
    <n v="154238.45000000001"/>
  </r>
  <r>
    <x v="955"/>
    <x v="44"/>
    <x v="914"/>
    <x v="275"/>
    <n v="20"/>
    <s v="Male"/>
    <s v="Pune"/>
    <s v="Mobile"/>
    <s v="Electronics"/>
    <n v="2"/>
    <n v="39578.6"/>
    <n v="79157.2"/>
  </r>
  <r>
    <x v="956"/>
    <x v="2"/>
    <x v="915"/>
    <x v="6"/>
    <n v="54"/>
    <s v="Female"/>
    <s v="Delhi"/>
    <s v="Mobile"/>
    <s v="Electronics"/>
    <n v="8"/>
    <n v="35028.53"/>
    <n v="280228.24"/>
  </r>
  <r>
    <x v="957"/>
    <x v="267"/>
    <x v="916"/>
    <x v="11"/>
    <n v="44"/>
    <s v="Female"/>
    <s v="Bengaluru"/>
    <s v="Mobile"/>
    <s v="Electronics"/>
    <n v="6"/>
    <n v="6287.85"/>
    <n v="37727.1"/>
  </r>
  <r>
    <x v="958"/>
    <x v="339"/>
    <x v="917"/>
    <x v="420"/>
    <n v="61"/>
    <s v="Female"/>
    <s v="Delhi"/>
    <s v="Chair"/>
    <s v="Furniture"/>
    <n v="3"/>
    <n v="32751.77"/>
    <n v="98255.31"/>
  </r>
  <r>
    <x v="959"/>
    <x v="243"/>
    <x v="918"/>
    <x v="8"/>
    <n v="58"/>
    <s v="Male"/>
    <s v="Mumbai"/>
    <s v="Laptop"/>
    <s v="Electronics"/>
    <n v="9"/>
    <n v="24421.73"/>
    <n v="219795.57"/>
  </r>
  <r>
    <x v="960"/>
    <x v="242"/>
    <x v="919"/>
    <x v="105"/>
    <n v="27"/>
    <s v="Female"/>
    <s v="Bengaluru"/>
    <s v="Shoes"/>
    <s v="Fashion"/>
    <n v="1"/>
    <n v="31739.18"/>
    <n v="31739.18"/>
  </r>
  <r>
    <x v="961"/>
    <x v="235"/>
    <x v="920"/>
    <x v="121"/>
    <n v="31"/>
    <s v="Female"/>
    <s v="Gaya"/>
    <s v="Rice"/>
    <s v="Grocery"/>
    <n v="1"/>
    <n v="6976.56"/>
    <n v="6976.56"/>
  </r>
  <r>
    <x v="962"/>
    <x v="165"/>
    <x v="921"/>
    <x v="421"/>
    <n v="32"/>
    <s v="Male"/>
    <s v="Delhi"/>
    <s v="Book"/>
    <s v="Education"/>
    <n v="4"/>
    <n v="9989.0400000000009"/>
    <n v="39956.160000000003"/>
  </r>
  <r>
    <x v="963"/>
    <x v="326"/>
    <x v="922"/>
    <x v="339"/>
    <n v="43"/>
    <s v="Male"/>
    <s v="Hyderabad"/>
    <s v="Laptop"/>
    <s v="Electronics"/>
    <n v="10"/>
    <n v="43146.39"/>
    <n v="431463.9"/>
  </r>
  <r>
    <x v="964"/>
    <x v="199"/>
    <x v="923"/>
    <x v="367"/>
    <n v="37"/>
    <s v="Male"/>
    <s v="Kolkata"/>
    <s v="Laptop"/>
    <s v="Electronics"/>
    <n v="10"/>
    <n v="48566.78"/>
    <n v="485667.8"/>
  </r>
  <r>
    <x v="965"/>
    <x v="95"/>
    <x v="128"/>
    <x v="84"/>
    <n v="25"/>
    <s v="Female"/>
    <m/>
    <s v="Book"/>
    <s v="Education"/>
    <n v="6"/>
    <n v="6189.16"/>
    <n v="37134.959999999999"/>
  </r>
  <r>
    <x v="966"/>
    <x v="264"/>
    <x v="924"/>
    <x v="366"/>
    <n v="22"/>
    <s v="Female"/>
    <s v="Patna"/>
    <s v="Shoes"/>
    <s v="Fashion"/>
    <n v="3"/>
    <n v="46910.35"/>
    <n v="140731.04999999999"/>
  </r>
  <r>
    <x v="967"/>
    <x v="212"/>
    <x v="925"/>
    <x v="41"/>
    <n v="24"/>
    <s v="Male"/>
    <s v="Delhi"/>
    <s v="Shoes"/>
    <s v="Fashion"/>
    <n v="1"/>
    <n v="25737.43"/>
    <n v="25737.43"/>
  </r>
  <r>
    <x v="968"/>
    <x v="34"/>
    <x v="926"/>
    <x v="396"/>
    <n v="50"/>
    <s v="Male"/>
    <s v="Hyderabad"/>
    <s v="Shoes"/>
    <s v="Fashion"/>
    <n v="3"/>
    <n v="38656.449999999997"/>
    <n v="115969.35"/>
  </r>
  <r>
    <x v="969"/>
    <x v="104"/>
    <x v="927"/>
    <x v="144"/>
    <n v="48"/>
    <s v="Male"/>
    <s v="Hyderabad"/>
    <s v="Rice"/>
    <s v="Grocery"/>
    <n v="6"/>
    <n v="44566.74"/>
    <n v="267400.44"/>
  </r>
  <r>
    <x v="970"/>
    <x v="233"/>
    <x v="928"/>
    <x v="207"/>
    <n v="30"/>
    <s v="Male"/>
    <s v="Pune"/>
    <s v="Laptop"/>
    <s v="Electronics"/>
    <n v="5"/>
    <n v="16513.54"/>
    <n v="82567.7"/>
  </r>
  <r>
    <x v="971"/>
    <x v="186"/>
    <x v="618"/>
    <x v="298"/>
    <n v="24"/>
    <s v="Male"/>
    <s v="Hyderabad"/>
    <s v="Book"/>
    <s v="Education"/>
    <n v="6"/>
    <n v="5066.4399999999996"/>
    <n v="30398.639999999999"/>
  </r>
  <r>
    <x v="972"/>
    <x v="67"/>
    <x v="929"/>
    <x v="422"/>
    <n v="54"/>
    <s v="Female"/>
    <s v="Bengaluru"/>
    <s v="Rice"/>
    <s v="Grocery"/>
    <n v="10"/>
    <n v="46852.2"/>
    <n v="468522"/>
  </r>
  <r>
    <x v="973"/>
    <x v="319"/>
    <x v="930"/>
    <x v="93"/>
    <n v="54"/>
    <s v="Male"/>
    <s v="Mumbai"/>
    <s v="Shoes"/>
    <s v="Fashion"/>
    <n v="3"/>
    <n v="18013.259999999998"/>
    <n v="54039.78"/>
  </r>
  <r>
    <x v="974"/>
    <x v="84"/>
    <x v="931"/>
    <x v="185"/>
    <n v="46"/>
    <s v="Female"/>
    <s v="Patna"/>
    <s v="Shoes"/>
    <s v="Fashion"/>
    <n v="4"/>
    <n v="36188.720000000001"/>
    <n v="144754.88"/>
  </r>
  <r>
    <x v="975"/>
    <x v="101"/>
    <x v="719"/>
    <x v="215"/>
    <n v="58"/>
    <s v="Female"/>
    <s v="Gaya"/>
    <s v="Chair"/>
    <s v="Furniture"/>
    <n v="3"/>
    <n v="33517.79"/>
    <n v="100553.37"/>
  </r>
  <r>
    <x v="976"/>
    <x v="100"/>
    <x v="932"/>
    <x v="115"/>
    <n v="24"/>
    <s v="Male"/>
    <s v="Hyderabad"/>
    <s v="Rice"/>
    <s v="Grocery"/>
    <n v="1"/>
    <n v="3375.35"/>
    <n v="3375.35"/>
  </r>
  <r>
    <x v="977"/>
    <x v="23"/>
    <x v="933"/>
    <x v="185"/>
    <n v="37"/>
    <s v="Female"/>
    <s v="Mumbai"/>
    <s v="Mobile"/>
    <s v="Electronics"/>
    <n v="4"/>
    <n v="34140.07"/>
    <n v="136560.28"/>
  </r>
  <r>
    <x v="978"/>
    <x v="153"/>
    <x v="934"/>
    <x v="140"/>
    <n v="27"/>
    <s v="Female"/>
    <s v="Pune"/>
    <s v="Mobile"/>
    <s v="Electronics"/>
    <n v="2"/>
    <n v="17345.150000000001"/>
    <n v="34690.300000000003"/>
  </r>
  <r>
    <x v="979"/>
    <x v="340"/>
    <x v="935"/>
    <x v="423"/>
    <n v="57"/>
    <s v="Male"/>
    <s v="Gaya"/>
    <s v="Chair"/>
    <s v="Furniture"/>
    <n v="2"/>
    <n v="46527.93"/>
    <n v="93055.86"/>
  </r>
  <r>
    <x v="980"/>
    <x v="70"/>
    <x v="936"/>
    <x v="220"/>
    <n v="34"/>
    <s v="Male"/>
    <s v="Patna"/>
    <s v="Rice"/>
    <s v="Grocery"/>
    <n v="1"/>
    <n v="21819.5"/>
    <n v="21819.5"/>
  </r>
  <r>
    <x v="981"/>
    <x v="229"/>
    <x v="937"/>
    <x v="86"/>
    <n v="31"/>
    <s v="Male"/>
    <s v="Bengaluru"/>
    <s v="Mobile"/>
    <s v="Electronics"/>
    <n v="4"/>
    <n v="26365.27"/>
    <n v="105461.08"/>
  </r>
  <r>
    <x v="982"/>
    <x v="341"/>
    <x v="938"/>
    <x v="39"/>
    <n v="27"/>
    <s v="Male"/>
    <s v="Kolkata"/>
    <s v="Chair"/>
    <s v="Furniture"/>
    <n v="9"/>
    <n v="34835.550000000003"/>
    <n v="313519.95"/>
  </r>
  <r>
    <x v="983"/>
    <x v="249"/>
    <x v="425"/>
    <x v="389"/>
    <n v="52"/>
    <s v="Male"/>
    <s v="Patna"/>
    <s v="Book"/>
    <s v="Education"/>
    <n v="8"/>
    <n v="44625.98"/>
    <n v="357007.84"/>
  </r>
  <r>
    <x v="984"/>
    <x v="99"/>
    <x v="939"/>
    <x v="424"/>
    <n v="52"/>
    <s v="Female"/>
    <s v="Mumbai"/>
    <s v="Chair"/>
    <s v="Furniture"/>
    <n v="5"/>
    <n v="7279.34"/>
    <n v="36396.699999999997"/>
  </r>
  <r>
    <x v="985"/>
    <x v="256"/>
    <x v="940"/>
    <x v="382"/>
    <n v="64"/>
    <s v="Male"/>
    <s v="Mumbai"/>
    <s v="Chair"/>
    <s v="Furniture"/>
    <n v="1"/>
    <n v="37930.19"/>
    <n v="37930.19"/>
  </r>
  <r>
    <x v="986"/>
    <x v="225"/>
    <x v="941"/>
    <x v="32"/>
    <n v="36"/>
    <s v="Male"/>
    <s v="Pune"/>
    <s v="Book"/>
    <s v="Education"/>
    <n v="9"/>
    <n v="44322.64"/>
    <n v="398903.76"/>
  </r>
  <r>
    <x v="987"/>
    <x v="84"/>
    <x v="942"/>
    <x v="191"/>
    <n v="61"/>
    <s v="Male"/>
    <s v="Gaya"/>
    <s v="Laptop"/>
    <s v="Electronics"/>
    <n v="9"/>
    <n v="35405.54"/>
    <n v="318649.86"/>
  </r>
  <r>
    <x v="988"/>
    <x v="319"/>
    <x v="943"/>
    <x v="83"/>
    <n v="25"/>
    <s v="Male"/>
    <s v="Gaya"/>
    <s v="Shoes"/>
    <s v="Fashion"/>
    <n v="5"/>
    <n v="18454.650000000001"/>
    <n v="92273.25"/>
  </r>
  <r>
    <x v="989"/>
    <x v="189"/>
    <x v="944"/>
    <x v="394"/>
    <n v="62"/>
    <s v="Female"/>
    <s v="Hyderabad"/>
    <s v="Laptop"/>
    <s v="Electronics"/>
    <n v="9"/>
    <n v="12971.59"/>
    <n v="116744.31"/>
  </r>
  <r>
    <x v="990"/>
    <x v="286"/>
    <x v="945"/>
    <x v="103"/>
    <m/>
    <s v="Male"/>
    <s v="Delhi"/>
    <s v="Mobile"/>
    <s v="Electronics"/>
    <n v="9"/>
    <n v="2879.01"/>
    <n v="25911.09"/>
  </r>
  <r>
    <x v="991"/>
    <x v="307"/>
    <x v="946"/>
    <x v="120"/>
    <n v="58"/>
    <s v="Female"/>
    <s v="Gaya"/>
    <s v="Chair"/>
    <s v="Furniture"/>
    <n v="9"/>
    <n v="22493.87"/>
    <n v="202444.83"/>
  </r>
  <r>
    <x v="992"/>
    <x v="342"/>
    <x v="947"/>
    <x v="425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x v="0"/>
    <s v="CUST5529"/>
    <s v="Customer_227"/>
    <n v="30"/>
    <s v="Female"/>
    <s v="Bengaluru"/>
    <s v="Rice"/>
    <s v="Grocery"/>
    <n v="7"/>
    <n v="2829.77"/>
    <n v="19808.39"/>
  </r>
  <r>
    <s v="ORD100003"/>
    <x v="1"/>
    <s v="CUST3127"/>
    <s v="Customer_182"/>
    <n v="63"/>
    <s v="Male"/>
    <s v="Bengaluru"/>
    <s v="Book"/>
    <s v="Education"/>
    <n v="5"/>
    <n v="27906.16"/>
    <n v="139530.79999999999"/>
  </r>
  <r>
    <s v="ORD100004"/>
    <x v="2"/>
    <s v="CUST8887"/>
    <s v="Customer_487"/>
    <n v="62"/>
    <s v="Female"/>
    <s v="Bengaluru"/>
    <s v="Book"/>
    <s v="Education"/>
    <n v="8"/>
    <n v="37491.06"/>
    <n v="299928.48"/>
  </r>
  <r>
    <s v="ORD100005"/>
    <x v="3"/>
    <s v="CUST2515"/>
    <s v="Customer_470"/>
    <n v="65"/>
    <s v="Female"/>
    <s v="Kolkata"/>
    <s v="Mobile"/>
    <s v="Electronics"/>
    <n v="9"/>
    <n v="28541.360000000001"/>
    <n v="256872.24"/>
  </r>
  <r>
    <s v="ORD100006"/>
    <x v="4"/>
    <s v="CUST4796"/>
    <s v="Customer_380"/>
    <n v="44"/>
    <s v="Male"/>
    <s v="Bengaluru"/>
    <s v="Rice"/>
    <s v="Grocery"/>
    <n v="10"/>
    <n v="14036.59"/>
    <n v="140365.9"/>
  </r>
  <r>
    <s v="ORD100007"/>
    <x v="5"/>
    <s v="CUST3952"/>
    <s v="Customer_71"/>
    <n v="40"/>
    <s v="Female"/>
    <s v="Hyderabad"/>
    <s v="Laptop"/>
    <s v="Electronics"/>
    <n v="9"/>
    <n v="35947.47"/>
    <n v="323527.23"/>
  </r>
  <r>
    <s v="ORD100008"/>
    <x v="1"/>
    <s v="CUST1758"/>
    <s v="Customer_335"/>
    <n v="61"/>
    <s v="Male"/>
    <s v="Patna"/>
    <s v="Mobile"/>
    <s v="Electronics"/>
    <n v="6"/>
    <n v="49997.53"/>
    <n v="299985.18"/>
  </r>
  <r>
    <s v="ORD100009"/>
    <x v="6"/>
    <s v="CUST9622"/>
    <s v="Customer_224"/>
    <n v="35"/>
    <s v="Male"/>
    <s v="Kolkata"/>
    <s v="Laptop"/>
    <s v="Electronics"/>
    <n v="3"/>
    <n v="9488.83"/>
    <n v="28466.49"/>
  </r>
  <r>
    <s v="ORD100010"/>
    <x v="7"/>
    <s v="CUST9770"/>
    <s v="Customer_494"/>
    <n v="41"/>
    <s v="Female"/>
    <s v="Mumbai"/>
    <s v="Book"/>
    <s v="Education"/>
    <n v="6"/>
    <n v="19488.23"/>
    <n v="116929.38"/>
  </r>
  <r>
    <s v="ORD100011"/>
    <x v="8"/>
    <s v="CUST1312"/>
    <s v="Customer_40"/>
    <n v="30"/>
    <s v="Male"/>
    <s v="Kolkata"/>
    <s v="Mobile"/>
    <s v="Electronics"/>
    <n v="8"/>
    <n v="18024.34"/>
    <n v="144194.72"/>
  </r>
  <r>
    <s v="ORD100012"/>
    <x v="9"/>
    <s v="CUST9642"/>
    <s v="Customer_162"/>
    <n v="51"/>
    <s v="Male"/>
    <s v="Delhi"/>
    <s v="Shoes"/>
    <s v="Fashion"/>
    <n v="3"/>
    <n v="14151.42"/>
    <n v="42454.26"/>
  </r>
  <r>
    <s v="ORD100013"/>
    <x v="10"/>
    <s v="CUST3228"/>
    <s v="Customer_209"/>
    <n v="55"/>
    <s v="Female"/>
    <s v="Patna"/>
    <s v="Chair"/>
    <s v="Furniture"/>
    <n v="6"/>
    <n v="47175.43"/>
    <n v="283052.58"/>
  </r>
  <r>
    <s v="ORD100014"/>
    <x v="11"/>
    <s v="CUST1038"/>
    <s v="Customer_454"/>
    <n v="32"/>
    <s v="Male"/>
    <s v="Patna"/>
    <s v="Rice"/>
    <s v="Grocery"/>
    <n v="5"/>
    <n v="7413.68"/>
    <n v="37068.400000000001"/>
  </r>
  <r>
    <s v="ORD100015"/>
    <x v="12"/>
    <s v="CUST6413"/>
    <s v="Customer_490"/>
    <n v="50"/>
    <s v="Female"/>
    <s v="Patna"/>
    <s v="Shoes"/>
    <s v="Fashion"/>
    <n v="8"/>
    <n v="12042.52"/>
    <n v="96340.160000000003"/>
  </r>
  <r>
    <s v="ORD100016"/>
    <x v="13"/>
    <s v="CUST8660"/>
    <s v="Customer_213"/>
    <n v="42"/>
    <s v="Female"/>
    <s v="Patna"/>
    <s v="Mobile"/>
    <s v="Electronics"/>
    <n v="8"/>
    <n v="25465.31"/>
    <n v="203722.48"/>
  </r>
  <r>
    <s v="ORD100017"/>
    <x v="14"/>
    <s v="CUST9307"/>
    <s v="Customer_313"/>
    <n v="36"/>
    <s v="Female"/>
    <s v="Delhi"/>
    <s v="Shoes"/>
    <s v="Fashion"/>
    <n v="10"/>
    <n v="20111.09"/>
    <n v="201110.9"/>
  </r>
  <r>
    <s v="ORD100018"/>
    <x v="15"/>
    <s v="CUST4363"/>
    <s v="Customer_161"/>
    <n v="30"/>
    <s v="Female"/>
    <s v="Delhi"/>
    <s v="Book"/>
    <s v="Education"/>
    <n v="10"/>
    <n v="40109.120000000003"/>
    <n v="401091.2"/>
  </r>
  <r>
    <s v="ORD100019"/>
    <x v="16"/>
    <s v="CUST3508"/>
    <s v="Customer_67"/>
    <n v="31"/>
    <s v="Male"/>
    <s v="Gaya"/>
    <s v="Shoes"/>
    <s v="Fashion"/>
    <n v="1"/>
    <n v="7280.64"/>
    <n v="7280.64"/>
  </r>
  <r>
    <s v="ORD100020"/>
    <x v="17"/>
    <s v="CUST5806"/>
    <s v="Customer_103"/>
    <n v="57"/>
    <s v="Female"/>
    <s v="Mumbai"/>
    <s v="Chair"/>
    <s v="Furniture"/>
    <n v="5"/>
    <n v="6122.59"/>
    <n v="30612.95"/>
  </r>
  <r>
    <s v="ORD100021"/>
    <x v="18"/>
    <s v="CUST6504"/>
    <s v="Customer_357"/>
    <n v="34"/>
    <s v="Male"/>
    <s v="Kolkata"/>
    <s v="Laptop"/>
    <s v="Electronics"/>
    <n v="8"/>
    <n v="23770.36"/>
    <n v="190162.88"/>
  </r>
  <r>
    <s v="ORD100022"/>
    <x v="19"/>
    <s v="CUST8908"/>
    <s v="Customer_190"/>
    <n v="65"/>
    <s v="Male"/>
    <s v="Pune"/>
    <s v="Shoes"/>
    <s v="Fashion"/>
    <n v="1"/>
    <n v="2344.98"/>
    <n v="2344.98"/>
  </r>
  <r>
    <s v="ORD100023"/>
    <x v="20"/>
    <s v="CUST2903"/>
    <s v="Customer_122"/>
    <n v="31"/>
    <s v="Female"/>
    <s v="Mumbai"/>
    <s v="Book"/>
    <s v="Education"/>
    <n v="7"/>
    <n v="15396.37"/>
    <n v="107774.59"/>
  </r>
  <r>
    <s v="ORD100024"/>
    <x v="21"/>
    <s v="CUST1406"/>
    <s v="Customer_499"/>
    <n v="52"/>
    <s v="Male"/>
    <s v="Gaya"/>
    <s v="Shoes"/>
    <s v="Fashion"/>
    <n v="10"/>
    <n v="31576.5"/>
    <n v="315765"/>
  </r>
  <r>
    <s v="ORD100025"/>
    <x v="22"/>
    <s v="CUST8036"/>
    <s v="Customer_173"/>
    <n v="44"/>
    <s v="Male"/>
    <s v="Patna"/>
    <s v="Laptop"/>
    <s v="Electronics"/>
    <n v="2"/>
    <n v="11127.06"/>
    <n v="22254.12"/>
  </r>
  <r>
    <s v="ORD100026"/>
    <x v="23"/>
    <s v="CUST6532"/>
    <s v="Customer_348"/>
    <n v="30"/>
    <s v="Male"/>
    <s v="Pune"/>
    <s v="Rice"/>
    <s v="Grocery"/>
    <n v="7"/>
    <n v="36069.86"/>
    <n v="252489.02"/>
  </r>
  <r>
    <s v="ORD100027"/>
    <x v="24"/>
    <s v="CUST2482"/>
    <s v="Customer_183"/>
    <n v="65"/>
    <s v="Male"/>
    <s v="Mumbai"/>
    <s v="Book"/>
    <s v="Education"/>
    <n v="9"/>
    <n v="39414.46"/>
    <n v="354730.14"/>
  </r>
  <r>
    <s v="ORD100028"/>
    <x v="25"/>
    <s v="CUST2003"/>
    <s v="Customer_48"/>
    <n v="35"/>
    <s v="Female"/>
    <s v="Mumbai"/>
    <s v="Rice"/>
    <s v="Grocery"/>
    <n v="2"/>
    <n v="23837.41"/>
    <n v="47674.82"/>
  </r>
  <r>
    <s v="ORD100029"/>
    <x v="26"/>
    <s v="CUST6149"/>
    <s v="Customer_181"/>
    <n v="32"/>
    <s v="Female"/>
    <s v="Patna"/>
    <s v="Laptop"/>
    <s v="Electronics"/>
    <n v="5"/>
    <n v="14534.79"/>
    <n v="72673.95"/>
  </r>
  <r>
    <s v="ORD100030"/>
    <x v="27"/>
    <s v="CUST3688"/>
    <s v="Customer_205"/>
    <n v="38"/>
    <s v="Female"/>
    <s v="Bengaluru"/>
    <s v="Mobile"/>
    <s v="Electronics"/>
    <n v="10"/>
    <n v="21393.69"/>
    <n v="213936.9"/>
  </r>
  <r>
    <s v="ORD100031"/>
    <x v="28"/>
    <s v="CUST3212"/>
    <s v="Customer_415"/>
    <n v="33"/>
    <s v="Male"/>
    <s v="Gaya"/>
    <s v="Rice"/>
    <s v="Grocery"/>
    <n v="2"/>
    <n v="21382.16"/>
    <n v="42764.32"/>
  </r>
  <r>
    <s v="ORD100032"/>
    <x v="2"/>
    <s v="CUST5063"/>
    <s v="Customer_50"/>
    <n v="33"/>
    <s v="Female"/>
    <s v="Mumbai"/>
    <s v="Mobile"/>
    <s v="Electronics"/>
    <n v="1"/>
    <n v="15831.03"/>
    <n v="15831.03"/>
  </r>
  <r>
    <s v="ORD100033"/>
    <x v="29"/>
    <s v="CUST9565"/>
    <s v="Customer_350"/>
    <n v="21"/>
    <s v="Female"/>
    <s v="Mumbai"/>
    <s v="Book"/>
    <s v="Education"/>
    <n v="8"/>
    <n v="21791.66"/>
    <n v="174333.28"/>
  </r>
  <r>
    <s v="ORD100034"/>
    <x v="30"/>
    <s v="CUST9325"/>
    <s v="Customer_352"/>
    <n v="44"/>
    <s v="Female"/>
    <s v="Mumbai"/>
    <s v="Laptop"/>
    <s v="Electronics"/>
    <n v="5"/>
    <n v="17556.080000000002"/>
    <n v="87780.4"/>
  </r>
  <r>
    <s v="ORD100035"/>
    <x v="31"/>
    <s v="CUST4002"/>
    <s v="Customer_388"/>
    <n v="18"/>
    <s v="Female"/>
    <s v="Gaya"/>
    <s v="Laptop"/>
    <s v="Electronics"/>
    <n v="5"/>
    <n v="46822.84"/>
    <n v="234114.2"/>
  </r>
  <r>
    <s v="ORD100036"/>
    <x v="32"/>
    <s v="CUST8975"/>
    <s v="Customer_315"/>
    <n v="36"/>
    <s v="Female"/>
    <s v="Gaya"/>
    <s v="Mobile"/>
    <s v="Electronics"/>
    <n v="4"/>
    <n v="47896.7"/>
    <n v="191586.8"/>
  </r>
  <r>
    <s v="ORD100037"/>
    <x v="33"/>
    <s v="CUST2669"/>
    <s v="Customer_151"/>
    <n v="46"/>
    <s v="Male"/>
    <s v="Bengaluru"/>
    <s v="Laptop"/>
    <s v="Electronics"/>
    <n v="8"/>
    <n v="44911.49"/>
    <n v="359291.92"/>
  </r>
  <r>
    <s v="ORD100038"/>
    <x v="34"/>
    <s v="CUST5869"/>
    <s v="Customer_415"/>
    <n v="23"/>
    <s v="Male"/>
    <s v="Delhi"/>
    <s v="Chair"/>
    <s v="Furniture"/>
    <n v="7"/>
    <n v="40746.79"/>
    <n v="285227.53000000003"/>
  </r>
  <r>
    <s v="ORD100039"/>
    <x v="35"/>
    <s v="CUST7249"/>
    <s v="Customer_144"/>
    <n v="29"/>
    <s v="Male"/>
    <s v="Kolkata"/>
    <s v="Rice"/>
    <s v="Grocery"/>
    <n v="4"/>
    <n v="4794.08"/>
    <n v="19176.32"/>
  </r>
  <r>
    <s v="ORD100040"/>
    <x v="36"/>
    <s v="CUST7465"/>
    <s v="Customer_345"/>
    <n v="58"/>
    <s v="Female"/>
    <s v="Bengaluru"/>
    <s v="Shoes"/>
    <s v="Fashion"/>
    <n v="8"/>
    <n v="29270.98"/>
    <n v="234167.84"/>
  </r>
  <r>
    <s v="ORD100041"/>
    <x v="37"/>
    <s v="CUST7988"/>
    <s v="Customer_383"/>
    <n v="39"/>
    <s v="Female"/>
    <s v="Mumbai"/>
    <s v="Shoes"/>
    <s v="Fashion"/>
    <n v="1"/>
    <n v="3992.85"/>
    <n v="3992.85"/>
  </r>
  <r>
    <s v="ORD100042"/>
    <x v="38"/>
    <s v="CUST9953"/>
    <s v="Customer_484"/>
    <n v="50"/>
    <s v="Female"/>
    <s v="Hyderabad"/>
    <s v="Mobile"/>
    <s v="Electronics"/>
    <n v="5"/>
    <n v="44365.94"/>
    <n v="221829.7"/>
  </r>
  <r>
    <s v="ORD100043"/>
    <x v="39"/>
    <s v="CUST6938"/>
    <s v="Customer_344"/>
    <n v="43"/>
    <s v="Female"/>
    <s v="Kolkata"/>
    <s v="Mobile"/>
    <s v="Electronics"/>
    <n v="4"/>
    <n v="29915.72"/>
    <n v="119662.88"/>
  </r>
  <r>
    <s v="ORD100044"/>
    <x v="40"/>
    <s v="CUST3006"/>
    <s v="Customer_256"/>
    <n v="58"/>
    <s v="Male"/>
    <s v="Patna"/>
    <s v="Chair"/>
    <s v="Furniture"/>
    <n v="6"/>
    <n v="16521.439999999999"/>
    <n v="99128.639999999999"/>
  </r>
  <r>
    <s v="ORD100045"/>
    <x v="41"/>
    <s v="CUST5151"/>
    <s v="Customer_409"/>
    <n v="55"/>
    <s v="Female"/>
    <s v="Bengaluru"/>
    <s v="Rice"/>
    <s v="Grocery"/>
    <n v="6"/>
    <n v="14399.11"/>
    <n v="86394.66"/>
  </r>
  <r>
    <s v="ORD100046"/>
    <x v="42"/>
    <s v="CUST5903"/>
    <s v="Customer_396"/>
    <n v="27"/>
    <s v="Female"/>
    <s v="Hyderabad"/>
    <s v="Shoes"/>
    <s v="Fashion"/>
    <n v="9"/>
    <n v="1491.63"/>
    <n v="13424.67"/>
  </r>
  <r>
    <s v="ORD100047"/>
    <x v="43"/>
    <s v="CUST4943"/>
    <s v="Customer_198"/>
    <n v="34"/>
    <s v="Male"/>
    <s v="Mumbai"/>
    <s v="Rice"/>
    <s v="Grocery"/>
    <n v="2"/>
    <n v="6210.24"/>
    <n v="12420.48"/>
  </r>
  <r>
    <s v="ORD100048"/>
    <x v="44"/>
    <s v="CUST4750"/>
    <s v="Customer_78"/>
    <n v="42"/>
    <s v="Female"/>
    <s v="Delhi"/>
    <s v="Mobile"/>
    <s v="Electronics"/>
    <n v="2"/>
    <n v="47649.61"/>
    <n v="95299.22"/>
  </r>
  <r>
    <s v="ORD100049"/>
    <x v="45"/>
    <s v="CUST2705"/>
    <s v="Customer_117"/>
    <n v="55"/>
    <s v="Male"/>
    <s v="Kolkata"/>
    <s v="Mobile"/>
    <s v="Electronics"/>
    <n v="5"/>
    <n v="24854.05"/>
    <n v="124270.25"/>
  </r>
  <r>
    <s v="ORD100050"/>
    <x v="46"/>
    <s v="CUST5523"/>
    <s v="Customer_432"/>
    <m/>
    <s v="Male"/>
    <s v="Pune"/>
    <s v="Chair"/>
    <s v="Furniture"/>
    <n v="9"/>
    <n v="30834.87"/>
    <n v="277513.83"/>
  </r>
  <r>
    <s v="ORD100051"/>
    <x v="47"/>
    <s v="CUST1557"/>
    <s v="Customer_87"/>
    <n v="39"/>
    <s v="Female"/>
    <s v="Mumbai"/>
    <s v="Chair"/>
    <s v="Furniture"/>
    <n v="6"/>
    <n v="20561.97"/>
    <n v="123371.82"/>
  </r>
  <r>
    <s v="ORD100052"/>
    <x v="48"/>
    <s v="CUST2062"/>
    <s v="Customer_254"/>
    <n v="58"/>
    <s v="Male"/>
    <s v="Patna"/>
    <s v="Book"/>
    <s v="Education"/>
    <n v="10"/>
    <n v="49367.75"/>
    <n v="493677.5"/>
  </r>
  <r>
    <s v="ORD100053"/>
    <x v="49"/>
    <s v="CUST9203"/>
    <s v="Customer_70"/>
    <n v="33"/>
    <s v="Male"/>
    <s v="Delhi"/>
    <s v="Laptop"/>
    <s v="Electronics"/>
    <n v="6"/>
    <n v="4656.1000000000004"/>
    <n v="27936.6"/>
  </r>
  <r>
    <s v="ORD100054"/>
    <x v="50"/>
    <s v="CUST8053"/>
    <s v="Customer_408"/>
    <n v="58"/>
    <s v="Male"/>
    <s v="Delhi"/>
    <s v="Rice"/>
    <s v="Grocery"/>
    <n v="7"/>
    <n v="42345.82"/>
    <n v="296420.74"/>
  </r>
  <r>
    <s v="ORD100055"/>
    <x v="8"/>
    <s v="CUST1017"/>
    <s v="Customer_387"/>
    <n v="42"/>
    <s v="Female"/>
    <s v="Pune"/>
    <s v="Shoes"/>
    <s v="Fashion"/>
    <n v="7"/>
    <n v="37747.24"/>
    <n v="264230.68"/>
  </r>
  <r>
    <s v="ORD100056"/>
    <x v="51"/>
    <s v="CUST2690"/>
    <s v="Customer_11"/>
    <n v="26"/>
    <s v="Male"/>
    <s v="Delhi"/>
    <s v="Book"/>
    <s v="Education"/>
    <n v="2"/>
    <n v="33304.17"/>
    <n v="66608.34"/>
  </r>
  <r>
    <s v="ORD100057"/>
    <x v="52"/>
    <s v="CUST2791"/>
    <s v="Customer_20"/>
    <n v="58"/>
    <s v="Female"/>
    <s v="Bengaluru"/>
    <s v="Laptop"/>
    <s v="Electronics"/>
    <n v="6"/>
    <n v="41157.440000000002"/>
    <n v="246944.64000000001"/>
  </r>
  <r>
    <s v="ORD100058"/>
    <x v="13"/>
    <s v="CUST4496"/>
    <s v="Customer_53"/>
    <n v="18"/>
    <s v="Female"/>
    <s v="Bengaluru"/>
    <s v="Chair"/>
    <s v="Furniture"/>
    <n v="7"/>
    <n v="47669.63"/>
    <n v="333687.40999999997"/>
  </r>
  <r>
    <s v="ORD100059"/>
    <x v="53"/>
    <s v="CUST8811"/>
    <s v="Customer_115"/>
    <n v="50"/>
    <s v="Female"/>
    <s v="Bengaluru"/>
    <s v="Chair"/>
    <s v="Furniture"/>
    <n v="1"/>
    <n v="44708.5"/>
    <n v="44708.5"/>
  </r>
  <r>
    <s v="ORD100060"/>
    <x v="54"/>
    <s v="CUST2411"/>
    <s v="Customer_292"/>
    <n v="47"/>
    <s v="Female"/>
    <s v="Mumbai"/>
    <s v="Mobile"/>
    <s v="Electronics"/>
    <n v="5"/>
    <n v="36809.08"/>
    <n v="184045.4"/>
  </r>
  <r>
    <s v="ORD100061"/>
    <x v="55"/>
    <s v="CUST2350"/>
    <s v="Customer_205"/>
    <n v="46"/>
    <s v="Male"/>
    <s v="Pune"/>
    <s v="Mobile"/>
    <s v="Electronics"/>
    <n v="4"/>
    <n v="25292.97"/>
    <n v="101171.88"/>
  </r>
  <r>
    <s v="ORD100062"/>
    <x v="56"/>
    <s v="CUST9745"/>
    <s v="Customer_48"/>
    <n v="27"/>
    <s v="Male"/>
    <s v="Mumbai"/>
    <s v="Shoes"/>
    <s v="Fashion"/>
    <n v="1"/>
    <n v="29263.26"/>
    <n v="29263.26"/>
  </r>
  <r>
    <s v="ORD100063"/>
    <x v="57"/>
    <s v="CUST6236"/>
    <s v="Customer_312"/>
    <n v="43"/>
    <s v="Female"/>
    <s v="Kolkata"/>
    <s v="Laptop"/>
    <s v="Electronics"/>
    <n v="3"/>
    <n v="5679.91"/>
    <n v="17039.73"/>
  </r>
  <r>
    <s v="ORD100064"/>
    <x v="58"/>
    <s v="CUST1887"/>
    <s v="Customer_209"/>
    <n v="21"/>
    <s v="Male"/>
    <s v="Hyderabad"/>
    <s v="Chair"/>
    <s v="Furniture"/>
    <n v="6"/>
    <n v="46235.96"/>
    <n v="277415.76"/>
  </r>
  <r>
    <s v="ORD100065"/>
    <x v="59"/>
    <s v="CUST5386"/>
    <s v="Customer_125"/>
    <n v="47"/>
    <s v="Male"/>
    <s v="Gaya"/>
    <s v="Rice"/>
    <s v="Grocery"/>
    <n v="9"/>
    <n v="27164.06"/>
    <n v="244476.54"/>
  </r>
  <r>
    <s v="ORD100066"/>
    <x v="60"/>
    <s v="CUST8065"/>
    <s v="Customer_92"/>
    <n v="53"/>
    <s v="Male"/>
    <s v="Kolkata"/>
    <s v="Mobile"/>
    <s v="Electronics"/>
    <n v="10"/>
    <n v="8905.49"/>
    <n v="89054.9"/>
  </r>
  <r>
    <s v="ORD100067"/>
    <x v="61"/>
    <s v="CUST8841"/>
    <s v="Customer_407"/>
    <n v="36"/>
    <s v="Female"/>
    <s v="Patna"/>
    <s v="Book"/>
    <s v="Education"/>
    <n v="10"/>
    <n v="17406.52"/>
    <n v="174065.2"/>
  </r>
  <r>
    <s v="ORD100068"/>
    <x v="0"/>
    <s v="CUST5871"/>
    <s v="Customer_335"/>
    <n v="39"/>
    <s v="Female"/>
    <s v="Delhi"/>
    <s v="Chair"/>
    <s v="Furniture"/>
    <n v="5"/>
    <n v="27366.58"/>
    <n v="136832.9"/>
  </r>
  <r>
    <s v="ORD100069"/>
    <x v="62"/>
    <s v="CUST9869"/>
    <s v="Customer_394"/>
    <n v="40"/>
    <s v="Female"/>
    <s v="Hyderabad"/>
    <s v="Book"/>
    <s v="Education"/>
    <n v="5"/>
    <n v="41282.629999999997"/>
    <n v="206413.15"/>
  </r>
  <r>
    <s v="ORD100070"/>
    <x v="63"/>
    <s v="CUST9017"/>
    <s v="Customer_51"/>
    <n v="26"/>
    <s v="Female"/>
    <s v="Delhi"/>
    <s v="Book"/>
    <s v="Education"/>
    <n v="8"/>
    <n v="13645.41"/>
    <n v="109163.28"/>
  </r>
  <r>
    <s v="ORD100071"/>
    <x v="64"/>
    <s v="CUST1808"/>
    <s v="Customer_150"/>
    <n v="56"/>
    <s v="Male"/>
    <s v="Patna"/>
    <s v="Chair"/>
    <s v="Furniture"/>
    <n v="8"/>
    <n v="27337.64"/>
    <n v="218701.12"/>
  </r>
  <r>
    <s v="ORD100072"/>
    <x v="65"/>
    <s v="CUST2565"/>
    <s v="Customer_360"/>
    <n v="52"/>
    <s v="Female"/>
    <s v="Hyderabad"/>
    <s v="Shoes"/>
    <s v="Fashion"/>
    <n v="5"/>
    <n v="29219.72"/>
    <n v="146098.6"/>
  </r>
  <r>
    <s v="ORD100073"/>
    <x v="66"/>
    <s v="CUST4958"/>
    <s v="Customer_160"/>
    <n v="45"/>
    <s v="Male"/>
    <s v="Gaya"/>
    <s v="Rice"/>
    <s v="Grocery"/>
    <n v="3"/>
    <n v="8572.65"/>
    <n v="25717.95"/>
  </r>
  <r>
    <s v="ORD100074"/>
    <x v="30"/>
    <s v="CUST7587"/>
    <s v="Customer_223"/>
    <n v="27"/>
    <s v="Male"/>
    <s v="Pune"/>
    <s v="Laptop"/>
    <s v="Electronics"/>
    <n v="9"/>
    <n v="45419.62"/>
    <n v="408776.58"/>
  </r>
  <r>
    <s v="ORD100075"/>
    <x v="67"/>
    <s v="CUST2157"/>
    <s v="Customer_31"/>
    <n v="58"/>
    <s v="Male"/>
    <m/>
    <s v="Mobile"/>
    <s v="Electronics"/>
    <n v="4"/>
    <n v="21599.26"/>
    <n v="86397.04"/>
  </r>
  <r>
    <s v="ORD100076"/>
    <x v="68"/>
    <s v="CUST8430"/>
    <s v="Customer_277"/>
    <n v="45"/>
    <s v="Male"/>
    <s v="Gaya"/>
    <s v="Laptop"/>
    <s v="Electronics"/>
    <n v="2"/>
    <n v="8883.4500000000007"/>
    <n v="17766.900000000001"/>
  </r>
  <r>
    <s v="ORD100077"/>
    <x v="69"/>
    <s v="CUST1956"/>
    <s v="Customer_317"/>
    <n v="22"/>
    <s v="Female"/>
    <s v="Bengaluru"/>
    <s v="Shoes"/>
    <s v="Fashion"/>
    <n v="9"/>
    <n v="12290.45"/>
    <n v="110614.05"/>
  </r>
  <r>
    <s v="ORD100078"/>
    <x v="70"/>
    <s v="CUST9846"/>
    <s v="Customer_298"/>
    <n v="58"/>
    <s v="Female"/>
    <s v="Patna"/>
    <s v="Book"/>
    <s v="Education"/>
    <n v="6"/>
    <n v="10784.64"/>
    <n v="64707.839999999997"/>
  </r>
  <r>
    <s v="ORD100079"/>
    <x v="71"/>
    <s v="CUST4706"/>
    <s v="Customer_34"/>
    <n v="62"/>
    <s v="Female"/>
    <s v="Delhi"/>
    <s v="Rice"/>
    <s v="Grocery"/>
    <n v="1"/>
    <n v="35862.339999999997"/>
    <n v="35862.339999999997"/>
  </r>
  <r>
    <s v="ORD100080"/>
    <x v="72"/>
    <s v="CUST5607"/>
    <s v="Customer_265"/>
    <n v="61"/>
    <s v="Female"/>
    <s v="Gaya"/>
    <s v="Rice"/>
    <s v="Grocery"/>
    <n v="1"/>
    <n v="13129.64"/>
    <n v="13129.64"/>
  </r>
  <r>
    <s v="ORD100081"/>
    <x v="73"/>
    <s v="CUST8211"/>
    <s v="Customer_62"/>
    <n v="19"/>
    <s v="Female"/>
    <s v="Gaya"/>
    <s v="Chair"/>
    <s v="Furniture"/>
    <n v="9"/>
    <n v="45747.37"/>
    <n v="411726.33"/>
  </r>
  <r>
    <s v="ORD100082"/>
    <x v="74"/>
    <s v="CUST5367"/>
    <s v="Customer_499"/>
    <n v="25"/>
    <s v="Female"/>
    <s v="Hyderabad"/>
    <s v="Book"/>
    <s v="Education"/>
    <n v="6"/>
    <n v="5849.89"/>
    <n v="35099.339999999997"/>
  </r>
  <r>
    <s v="ORD100083"/>
    <x v="75"/>
    <s v="CUST8346"/>
    <s v="Customer_384"/>
    <n v="30"/>
    <s v="Male"/>
    <s v="Hyderabad"/>
    <s v="Laptop"/>
    <s v="Electronics"/>
    <n v="9"/>
    <n v="48845.5"/>
    <n v="439609.5"/>
  </r>
  <r>
    <s v="ORD100084"/>
    <x v="76"/>
    <s v="CUST7484"/>
    <s v="Customer_478"/>
    <n v="36"/>
    <s v="Male"/>
    <s v="Gaya"/>
    <s v="Book"/>
    <s v="Education"/>
    <n v="9"/>
    <n v="24828.05"/>
    <n v="223452.45"/>
  </r>
  <r>
    <s v="ORD100085"/>
    <x v="36"/>
    <s v="CUST7911"/>
    <s v="Customer_7"/>
    <n v="59"/>
    <s v="Male"/>
    <s v="Delhi"/>
    <s v="Mobile"/>
    <s v="Electronics"/>
    <n v="8"/>
    <n v="17841.400000000001"/>
    <n v="142731.20000000001"/>
  </r>
  <r>
    <s v="ORD100086"/>
    <x v="77"/>
    <s v="CUST4229"/>
    <s v="Customer_234"/>
    <n v="51"/>
    <s v="Male"/>
    <s v="Hyderabad"/>
    <s v="Book"/>
    <s v="Education"/>
    <n v="10"/>
    <n v="13662.66"/>
    <n v="136626.6"/>
  </r>
  <r>
    <s v="ORD100087"/>
    <x v="78"/>
    <s v="CUST2290"/>
    <s v="Customer_195"/>
    <n v="56"/>
    <s v="Male"/>
    <s v="Mumbai"/>
    <s v="Book"/>
    <s v="Education"/>
    <n v="4"/>
    <n v="12169.49"/>
    <n v="48677.96"/>
  </r>
  <r>
    <s v="ORD100088"/>
    <x v="79"/>
    <s v="CUST1246"/>
    <s v="Customer_165"/>
    <n v="59"/>
    <s v="Female"/>
    <s v="Kolkata"/>
    <s v="Mobile"/>
    <s v="Electronics"/>
    <n v="6"/>
    <n v="349.06"/>
    <n v="2094.36"/>
  </r>
  <r>
    <s v="ORD100089"/>
    <x v="8"/>
    <s v="CUST3689"/>
    <s v="Customer_179"/>
    <n v="44"/>
    <s v="Female"/>
    <s v="Delhi"/>
    <s v="Laptop"/>
    <s v="Electronics"/>
    <n v="8"/>
    <n v="20498.740000000002"/>
    <n v="163989.92000000001"/>
  </r>
  <r>
    <s v="ORD100090"/>
    <x v="80"/>
    <s v="CUST7476"/>
    <s v="Customer_45"/>
    <n v="21"/>
    <s v="Female"/>
    <s v="Hyderabad"/>
    <s v="Book"/>
    <s v="Education"/>
    <n v="9"/>
    <n v="13111.39"/>
    <n v="118002.51"/>
  </r>
  <r>
    <s v="ORD100091"/>
    <x v="81"/>
    <s v="CUST7037"/>
    <s v="Customer_45"/>
    <n v="34"/>
    <s v="Male"/>
    <s v="Mumbai"/>
    <s v="Rice"/>
    <s v="Grocery"/>
    <n v="9"/>
    <n v="45000.49"/>
    <n v="405004.41"/>
  </r>
  <r>
    <s v="ORD100092"/>
    <x v="82"/>
    <s v="CUST8578"/>
    <s v="Customer_154"/>
    <n v="48"/>
    <s v="Male"/>
    <s v="Kolkata"/>
    <s v="Laptop"/>
    <s v="Electronics"/>
    <n v="2"/>
    <n v="3455.06"/>
    <n v="6910.12"/>
  </r>
  <r>
    <s v="ORD100093"/>
    <x v="83"/>
    <s v="CUST6618"/>
    <s v="Customer_311"/>
    <n v="19"/>
    <s v="Male"/>
    <s v="Pune"/>
    <s v="Shoes"/>
    <s v="Fashion"/>
    <n v="8"/>
    <n v="28874.639999999999"/>
    <n v="230997.12"/>
  </r>
  <r>
    <s v="ORD100094"/>
    <x v="84"/>
    <s v="CUST4650"/>
    <s v="Customer_370"/>
    <n v="32"/>
    <s v="Male"/>
    <s v="Delhi"/>
    <s v="Shoes"/>
    <s v="Fashion"/>
    <n v="3"/>
    <n v="47917.49"/>
    <n v="143752.47"/>
  </r>
  <r>
    <s v="ORD100095"/>
    <x v="85"/>
    <s v="CUST5091"/>
    <s v="Customer_375"/>
    <n v="47"/>
    <s v="Male"/>
    <s v="Bengaluru"/>
    <s v="Rice"/>
    <s v="Grocery"/>
    <n v="10"/>
    <n v="21399.51"/>
    <n v="213995.1"/>
  </r>
  <r>
    <s v="ORD100096"/>
    <x v="38"/>
    <s v="CUST2190"/>
    <s v="Customer_318"/>
    <n v="38"/>
    <s v="Male"/>
    <s v="Hyderabad"/>
    <s v="Rice"/>
    <s v="Grocery"/>
    <n v="5"/>
    <n v="15127.88"/>
    <n v="75639.399999999994"/>
  </r>
  <r>
    <s v="ORD100097"/>
    <x v="86"/>
    <s v="CUST7277"/>
    <s v="Customer_320"/>
    <n v="62"/>
    <s v="Female"/>
    <s v="Mumbai"/>
    <s v="Shoes"/>
    <s v="Fashion"/>
    <n v="7"/>
    <n v="41677.339999999997"/>
    <n v="291741.38"/>
  </r>
  <r>
    <s v="ORD100098"/>
    <x v="87"/>
    <s v="CUST8623"/>
    <s v="Customer_84"/>
    <n v="32"/>
    <s v="Male"/>
    <s v="Hyderabad"/>
    <s v="Mobile"/>
    <s v="Electronics"/>
    <n v="10"/>
    <n v="40745.550000000003"/>
    <n v="407455.5"/>
  </r>
  <r>
    <s v="ORD100099"/>
    <x v="88"/>
    <s v="CUST5232"/>
    <s v="Customer_395"/>
    <n v="54"/>
    <s v="Male"/>
    <s v="Gaya"/>
    <s v="Mobile"/>
    <s v="Electronics"/>
    <n v="2"/>
    <n v="31217.119999999999"/>
    <n v="62434.239999999998"/>
  </r>
  <r>
    <s v="ORD100100"/>
    <x v="89"/>
    <s v="CUST7462"/>
    <s v="Customer_379"/>
    <m/>
    <s v="Male"/>
    <s v="Patna"/>
    <s v="Laptop"/>
    <s v="Electronics"/>
    <n v="5"/>
    <n v="553.62"/>
    <n v="2768.1"/>
  </r>
  <r>
    <s v="ORD100101"/>
    <x v="90"/>
    <s v="CUST7588"/>
    <s v="Customer_67"/>
    <n v="47"/>
    <s v="Male"/>
    <s v="Pune"/>
    <s v="Rice"/>
    <s v="Grocery"/>
    <n v="4"/>
    <n v="6974.66"/>
    <n v="27898.639999999999"/>
  </r>
  <r>
    <s v="ORD100102"/>
    <x v="91"/>
    <s v="CUST5005"/>
    <s v="Customer_176"/>
    <n v="20"/>
    <s v="Female"/>
    <s v="Kolkata"/>
    <s v="Book"/>
    <s v="Education"/>
    <n v="9"/>
    <n v="19437.88"/>
    <n v="174940.92"/>
  </r>
  <r>
    <s v="ORD100103"/>
    <x v="92"/>
    <s v="CUST3210"/>
    <s v="Customer_15"/>
    <n v="43"/>
    <s v="Female"/>
    <s v="Mumbai"/>
    <s v="Laptop"/>
    <s v="Electronics"/>
    <n v="9"/>
    <n v="13617.93"/>
    <n v="122561.37"/>
  </r>
  <r>
    <s v="ORD100104"/>
    <x v="53"/>
    <s v="CUST5926"/>
    <s v="Customer_308"/>
    <n v="54"/>
    <s v="Male"/>
    <s v="Gaya"/>
    <s v="Chair"/>
    <s v="Furniture"/>
    <n v="8"/>
    <n v="38897.58"/>
    <n v="311180.64"/>
  </r>
  <r>
    <s v="ORD100105"/>
    <x v="21"/>
    <s v="CUST3809"/>
    <s v="Customer_394"/>
    <n v="44"/>
    <s v="Female"/>
    <s v="Gaya"/>
    <s v="Book"/>
    <s v="Education"/>
    <n v="6"/>
    <n v="8547.07"/>
    <n v="51282.42"/>
  </r>
  <r>
    <s v="ORD100106"/>
    <x v="93"/>
    <s v="CUST2079"/>
    <s v="Customer_35"/>
    <n v="44"/>
    <s v="Male"/>
    <s v="Mumbai"/>
    <s v="Chair"/>
    <s v="Furniture"/>
    <n v="7"/>
    <n v="46263.01"/>
    <n v="323841.07"/>
  </r>
  <r>
    <s v="ORD100107"/>
    <x v="28"/>
    <s v="CUST4881"/>
    <s v="Customer_389"/>
    <n v="32"/>
    <s v="Male"/>
    <s v="Patna"/>
    <s v="Book"/>
    <s v="Education"/>
    <n v="2"/>
    <n v="2814.55"/>
    <n v="5629.1"/>
  </r>
  <r>
    <s v="ORD100108"/>
    <x v="18"/>
    <s v="CUST6707"/>
    <s v="Customer_420"/>
    <n v="33"/>
    <s v="Male"/>
    <s v="Pune"/>
    <s v="Mobile"/>
    <s v="Electronics"/>
    <n v="8"/>
    <n v="41112.050000000003"/>
    <n v="328896.40000000002"/>
  </r>
  <r>
    <s v="ORD100109"/>
    <x v="94"/>
    <s v="CUST2796"/>
    <s v="Customer_471"/>
    <n v="29"/>
    <s v="Male"/>
    <s v="Patna"/>
    <s v="Book"/>
    <s v="Education"/>
    <n v="4"/>
    <n v="36826.879999999997"/>
    <n v="147307.51999999999"/>
  </r>
  <r>
    <s v="ORD100110"/>
    <x v="95"/>
    <s v="CUST5524"/>
    <s v="Customer_154"/>
    <n v="44"/>
    <s v="Male"/>
    <s v="Hyderabad"/>
    <s v="Chair"/>
    <s v="Furniture"/>
    <n v="3"/>
    <n v="42806.52"/>
    <n v="128419.56"/>
  </r>
  <r>
    <s v="ORD100111"/>
    <x v="96"/>
    <s v="CUST9882"/>
    <s v="Customer_103"/>
    <n v="28"/>
    <s v="Female"/>
    <s v="Kolkata"/>
    <s v="Laptop"/>
    <s v="Electronics"/>
    <n v="6"/>
    <n v="5533"/>
    <n v="33198"/>
  </r>
  <r>
    <s v="ORD100112"/>
    <x v="97"/>
    <s v="CUST3001"/>
    <s v="Customer_341"/>
    <n v="32"/>
    <s v="Male"/>
    <s v="Gaya"/>
    <s v="Laptop"/>
    <s v="Electronics"/>
    <n v="3"/>
    <n v="2638.97"/>
    <n v="7916.91"/>
  </r>
  <r>
    <s v="ORD100113"/>
    <x v="98"/>
    <s v="CUST5433"/>
    <s v="Customer_355"/>
    <n v="49"/>
    <s v="Male"/>
    <s v="Delhi"/>
    <s v="Book"/>
    <s v="Education"/>
    <n v="4"/>
    <n v="25002.720000000001"/>
    <n v="100010.88"/>
  </r>
  <r>
    <s v="ORD100114"/>
    <x v="99"/>
    <s v="CUST3794"/>
    <s v="Customer_315"/>
    <n v="35"/>
    <s v="Female"/>
    <s v="Hyderabad"/>
    <s v="Book"/>
    <s v="Education"/>
    <n v="10"/>
    <n v="10391.75"/>
    <n v="103917.5"/>
  </r>
  <r>
    <s v="ORD100115"/>
    <x v="48"/>
    <s v="CUST2345"/>
    <s v="Customer_302"/>
    <n v="48"/>
    <s v="Male"/>
    <s v="Bengaluru"/>
    <s v="Book"/>
    <s v="Education"/>
    <n v="10"/>
    <n v="22437.16"/>
    <n v="224371.6"/>
  </r>
  <r>
    <s v="ORD100116"/>
    <x v="88"/>
    <s v="CUST8316"/>
    <s v="Customer_121"/>
    <n v="63"/>
    <s v="Female"/>
    <s v="Hyderabad"/>
    <s v="Laptop"/>
    <s v="Electronics"/>
    <n v="9"/>
    <n v="41053.56"/>
    <n v="369482.04"/>
  </r>
  <r>
    <s v="ORD100117"/>
    <x v="100"/>
    <s v="CUST9354"/>
    <s v="Customer_241"/>
    <n v="46"/>
    <s v="Female"/>
    <s v="Patna"/>
    <s v="Rice"/>
    <s v="Grocery"/>
    <n v="2"/>
    <n v="21391.19"/>
    <n v="42782.38"/>
  </r>
  <r>
    <s v="ORD100118"/>
    <x v="94"/>
    <s v="CUST2871"/>
    <s v="Customer_8"/>
    <n v="33"/>
    <s v="Female"/>
    <s v="Delhi"/>
    <s v="Chair"/>
    <s v="Furniture"/>
    <n v="4"/>
    <n v="36875.19"/>
    <n v="147500.76"/>
  </r>
  <r>
    <s v="ORD100119"/>
    <x v="24"/>
    <s v="CUST7341"/>
    <s v="Customer_457"/>
    <n v="49"/>
    <s v="Female"/>
    <s v="Hyderabad"/>
    <s v="Mobile"/>
    <s v="Electronics"/>
    <n v="4"/>
    <n v="41640.74"/>
    <n v="166562.96"/>
  </r>
  <r>
    <s v="ORD100050"/>
    <x v="87"/>
    <s v="CUST3194"/>
    <s v="Customer_114"/>
    <n v="34"/>
    <s v="Male"/>
    <s v="Kolkata"/>
    <s v="Book"/>
    <s v="Education"/>
    <n v="2"/>
    <n v="25795.55"/>
    <n v="51591.1"/>
  </r>
  <r>
    <s v="ORD100121"/>
    <x v="101"/>
    <s v="CUST9563"/>
    <s v="Customer_166"/>
    <n v="24"/>
    <s v="Male"/>
    <s v="Gaya"/>
    <s v="Book"/>
    <s v="Education"/>
    <n v="8"/>
    <n v="4391.72"/>
    <n v="35133.760000000002"/>
  </r>
  <r>
    <s v="ORD100122"/>
    <x v="102"/>
    <s v="CUST2286"/>
    <s v="Customer_298"/>
    <n v="39"/>
    <s v="Female"/>
    <s v="Patna"/>
    <s v="Laptop"/>
    <s v="Electronics"/>
    <n v="2"/>
    <n v="18152.14"/>
    <n v="36304.28"/>
  </r>
  <r>
    <s v="ORD100123"/>
    <x v="4"/>
    <s v="CUST2423"/>
    <s v="Customer_376"/>
    <n v="23"/>
    <s v="Male"/>
    <s v="Hyderabad"/>
    <s v="Mobile"/>
    <s v="Electronics"/>
    <n v="7"/>
    <n v="16254.12"/>
    <n v="113778.84"/>
  </r>
  <r>
    <s v="ORD100124"/>
    <x v="103"/>
    <s v="CUST2378"/>
    <s v="Customer_95"/>
    <n v="53"/>
    <s v="Male"/>
    <s v="Hyderabad"/>
    <s v="Shoes"/>
    <s v="Fashion"/>
    <n v="5"/>
    <n v="3805.27"/>
    <n v="19026.349999999999"/>
  </r>
  <r>
    <s v="ORD100125"/>
    <x v="92"/>
    <s v="CUST6995"/>
    <s v="Customer_374"/>
    <n v="33"/>
    <s v="Male"/>
    <s v="Hyderabad"/>
    <s v="Book"/>
    <s v="Education"/>
    <n v="7"/>
    <n v="46489.41"/>
    <n v="325425.87"/>
  </r>
  <r>
    <s v="ORD100126"/>
    <x v="104"/>
    <s v="CUST3677"/>
    <s v="Customer_459"/>
    <n v="34"/>
    <s v="Female"/>
    <s v="Patna"/>
    <s v="Shoes"/>
    <s v="Fashion"/>
    <n v="1"/>
    <n v="17041.21"/>
    <n v="17041.21"/>
  </r>
  <r>
    <s v="ORD100127"/>
    <x v="92"/>
    <s v="CUST6627"/>
    <s v="Customer_353"/>
    <n v="57"/>
    <s v="Male"/>
    <s v="Patna"/>
    <s v="Rice"/>
    <s v="Grocery"/>
    <n v="6"/>
    <n v="41494.43"/>
    <n v="248966.58"/>
  </r>
  <r>
    <s v="ORD100128"/>
    <x v="30"/>
    <s v="CUST6238"/>
    <s v="Customer_258"/>
    <n v="55"/>
    <s v="Male"/>
    <s v="Gaya"/>
    <s v="Rice"/>
    <s v="Grocery"/>
    <n v="10"/>
    <n v="25930.1"/>
    <n v="259301"/>
  </r>
  <r>
    <s v="ORD100129"/>
    <x v="105"/>
    <s v="CUST8352"/>
    <s v="Customer_400"/>
    <n v="44"/>
    <s v="Male"/>
    <s v="Gaya"/>
    <s v="Laptop"/>
    <s v="Electronics"/>
    <n v="8"/>
    <n v="26281.83"/>
    <n v="210254.64"/>
  </r>
  <r>
    <s v="ORD100130"/>
    <x v="106"/>
    <s v="CUST2870"/>
    <s v="Customer_495"/>
    <n v="33"/>
    <s v="Male"/>
    <s v="Patna"/>
    <s v="Mobile"/>
    <s v="Electronics"/>
    <n v="8"/>
    <n v="21833.32"/>
    <n v="174666.56"/>
  </r>
  <r>
    <s v="ORD100131"/>
    <x v="107"/>
    <s v="CUST4751"/>
    <s v="Customer_260"/>
    <n v="20"/>
    <s v="Male"/>
    <s v="Patna"/>
    <s v="Rice"/>
    <s v="Grocery"/>
    <n v="6"/>
    <n v="40577.1"/>
    <n v="243462.6"/>
  </r>
  <r>
    <s v="ORD100132"/>
    <x v="98"/>
    <s v="CUST7031"/>
    <s v="Customer_224"/>
    <n v="37"/>
    <s v="Female"/>
    <s v="Gaya"/>
    <s v="Shoes"/>
    <s v="Fashion"/>
    <n v="5"/>
    <n v="39039.96"/>
    <n v="195199.8"/>
  </r>
  <r>
    <s v="ORD100133"/>
    <x v="108"/>
    <s v="CUST8366"/>
    <s v="Customer_355"/>
    <n v="65"/>
    <s v="Female"/>
    <s v="Bengaluru"/>
    <s v="Book"/>
    <s v="Education"/>
    <n v="10"/>
    <n v="29902.97"/>
    <n v="299029.7"/>
  </r>
  <r>
    <s v="ORD100134"/>
    <x v="109"/>
    <s v="CUST2863"/>
    <s v="Customer_375"/>
    <n v="34"/>
    <s v="Female"/>
    <s v="Patna"/>
    <s v="Mobile"/>
    <s v="Electronics"/>
    <n v="7"/>
    <n v="18967.46"/>
    <n v="132772.22"/>
  </r>
  <r>
    <s v="ORD100135"/>
    <x v="110"/>
    <s v="CUST8298"/>
    <s v="Customer_489"/>
    <n v="45"/>
    <s v="Female"/>
    <s v="Delhi"/>
    <s v="Mobile"/>
    <s v="Electronics"/>
    <n v="10"/>
    <n v="42943.17"/>
    <n v="429431.7"/>
  </r>
  <r>
    <s v="ORD100136"/>
    <x v="111"/>
    <s v="CUST9577"/>
    <s v="Customer_302"/>
    <n v="46"/>
    <s v="Male"/>
    <s v="Mumbai"/>
    <s v="Laptop"/>
    <s v="Electronics"/>
    <n v="6"/>
    <n v="24216.91"/>
    <n v="145301.46"/>
  </r>
  <r>
    <s v="ORD100137"/>
    <x v="112"/>
    <s v="CUST3054"/>
    <s v="Customer_96"/>
    <n v="28"/>
    <s v="Female"/>
    <s v="Mumbai"/>
    <s v="Chair"/>
    <s v="Furniture"/>
    <n v="9"/>
    <n v="7093.9"/>
    <n v="63845.1"/>
  </r>
  <r>
    <s v="ORD100138"/>
    <x v="113"/>
    <s v="CUST6791"/>
    <s v="Customer_430"/>
    <n v="22"/>
    <s v="Female"/>
    <s v="Pune"/>
    <s v="Chair"/>
    <s v="Furniture"/>
    <n v="5"/>
    <n v="29748.17"/>
    <n v="148740.85"/>
  </r>
  <r>
    <s v="ORD100139"/>
    <x v="94"/>
    <s v="CUST7062"/>
    <s v="Customer_92"/>
    <n v="52"/>
    <s v="Male"/>
    <s v="Bengaluru"/>
    <s v="Laptop"/>
    <s v="Electronics"/>
    <n v="8"/>
    <n v="22563.72"/>
    <n v="180509.76"/>
  </r>
  <r>
    <s v="ORD100140"/>
    <x v="114"/>
    <s v="CUST6625"/>
    <s v="Customer_121"/>
    <n v="18"/>
    <s v="Male"/>
    <s v="Hyderabad"/>
    <s v="Mobile"/>
    <s v="Electronics"/>
    <n v="7"/>
    <n v="17321.68"/>
    <n v="121251.76"/>
  </r>
  <r>
    <s v="ORD100141"/>
    <x v="115"/>
    <s v="CUST4824"/>
    <s v="Customer_98"/>
    <n v="24"/>
    <s v="Male"/>
    <s v="Gaya"/>
    <s v="Laptop"/>
    <s v="Electronics"/>
    <n v="9"/>
    <n v="25138.42"/>
    <n v="226245.78"/>
  </r>
  <r>
    <s v="ORD100142"/>
    <x v="116"/>
    <s v="CUST1339"/>
    <s v="Customer_107"/>
    <n v="54"/>
    <s v="Male"/>
    <s v="Kolkata"/>
    <s v="Book"/>
    <s v="Education"/>
    <n v="6"/>
    <n v="33887.35"/>
    <n v="203324.1"/>
  </r>
  <r>
    <s v="ORD100143"/>
    <x v="73"/>
    <s v="CUST1113"/>
    <s v="Customer_104"/>
    <n v="33"/>
    <s v="Female"/>
    <s v="Gaya"/>
    <s v="Shoes"/>
    <s v="Fashion"/>
    <n v="6"/>
    <n v="30177.21"/>
    <n v="181063.26"/>
  </r>
  <r>
    <s v="ORD100144"/>
    <x v="117"/>
    <s v="CUST4034"/>
    <s v="Customer_271"/>
    <n v="32"/>
    <s v="Female"/>
    <s v="Kolkata"/>
    <s v="Mobile"/>
    <s v="Electronics"/>
    <n v="3"/>
    <n v="28572.400000000001"/>
    <n v="85717.2"/>
  </r>
  <r>
    <s v="ORD100145"/>
    <x v="118"/>
    <s v="CUST6997"/>
    <s v="Customer_244"/>
    <n v="28"/>
    <s v="Male"/>
    <s v="Gaya"/>
    <s v="Mobile"/>
    <s v="Electronics"/>
    <n v="4"/>
    <n v="6898.4"/>
    <n v="27593.599999999999"/>
  </r>
  <r>
    <s v="ORD100146"/>
    <x v="13"/>
    <s v="CUST2480"/>
    <s v="Customer_491"/>
    <n v="59"/>
    <s v="Female"/>
    <s v="Gaya"/>
    <s v="Shoes"/>
    <s v="Fashion"/>
    <n v="1"/>
    <n v="20740.93"/>
    <n v="20740.93"/>
  </r>
  <r>
    <s v="ORD100147"/>
    <x v="49"/>
    <s v="CUST9450"/>
    <s v="Customer_230"/>
    <n v="18"/>
    <s v="Male"/>
    <s v="Bengaluru"/>
    <s v="Laptop"/>
    <s v="Electronics"/>
    <n v="3"/>
    <n v="37576.35"/>
    <n v="112729.05"/>
  </r>
  <r>
    <s v="ORD100148"/>
    <x v="50"/>
    <s v="CUST8408"/>
    <s v="Customer_249"/>
    <n v="51"/>
    <s v="Female"/>
    <s v="Delhi"/>
    <s v="Mobile"/>
    <s v="Electronics"/>
    <n v="6"/>
    <n v="20416.04"/>
    <n v="122496.24"/>
  </r>
  <r>
    <s v="ORD100149"/>
    <x v="119"/>
    <s v="CUST7178"/>
    <s v="Customer_478"/>
    <n v="64"/>
    <s v="Male"/>
    <s v="Bengaluru"/>
    <s v="Chair"/>
    <s v="Furniture"/>
    <n v="2"/>
    <n v="8092.78"/>
    <n v="16185.56"/>
  </r>
  <r>
    <s v="ORD100150"/>
    <x v="120"/>
    <s v="CUST4132"/>
    <s v="Customer_47"/>
    <m/>
    <s v="Female"/>
    <m/>
    <s v="Chair"/>
    <s v="Furniture"/>
    <n v="4"/>
    <n v="1973.64"/>
    <n v="7894.56"/>
  </r>
  <r>
    <s v="ORD100151"/>
    <x v="121"/>
    <s v="CUST4829"/>
    <s v="Customer_202"/>
    <n v="19"/>
    <s v="Female"/>
    <s v="Mumbai"/>
    <s v="Shoes"/>
    <s v="Fashion"/>
    <n v="8"/>
    <n v="41749.550000000003"/>
    <n v="333996.40000000002"/>
  </r>
  <r>
    <s v="ORD100152"/>
    <x v="122"/>
    <s v="CUST5188"/>
    <s v="Customer_286"/>
    <n v="53"/>
    <s v="Male"/>
    <s v="Gaya"/>
    <s v="Laptop"/>
    <s v="Electronics"/>
    <n v="9"/>
    <n v="48833.27"/>
    <n v="439499.43"/>
  </r>
  <r>
    <s v="ORD100153"/>
    <x v="123"/>
    <s v="CUST1928"/>
    <s v="Customer_17"/>
    <n v="30"/>
    <s v="Female"/>
    <s v="Mumbai"/>
    <s v="Mobile"/>
    <s v="Electronics"/>
    <n v="7"/>
    <n v="48642.53"/>
    <n v="340497.71"/>
  </r>
  <r>
    <s v="ORD100154"/>
    <x v="93"/>
    <s v="CUST3887"/>
    <s v="Customer_371"/>
    <n v="56"/>
    <s v="Female"/>
    <s v="Mumbai"/>
    <s v="Laptop"/>
    <s v="Electronics"/>
    <n v="4"/>
    <n v="42299.16"/>
    <n v="169196.64"/>
  </r>
  <r>
    <s v="ORD100155"/>
    <x v="19"/>
    <s v="CUST5211"/>
    <s v="Customer_215"/>
    <n v="53"/>
    <s v="Female"/>
    <s v="Patna"/>
    <s v="Book"/>
    <s v="Education"/>
    <n v="5"/>
    <n v="38233.51"/>
    <n v="191167.55"/>
  </r>
  <r>
    <s v="ORD100156"/>
    <x v="124"/>
    <s v="CUST2236"/>
    <s v="Customer_173"/>
    <n v="64"/>
    <s v="Male"/>
    <s v="Pune"/>
    <s v="Mobile"/>
    <s v="Electronics"/>
    <n v="4"/>
    <n v="6502.53"/>
    <n v="26010.12"/>
  </r>
  <r>
    <s v="ORD100157"/>
    <x v="125"/>
    <s v="CUST5375"/>
    <s v="Customer_265"/>
    <n v="60"/>
    <s v="Male"/>
    <s v="Bengaluru"/>
    <s v="Book"/>
    <s v="Education"/>
    <n v="2"/>
    <n v="18293.96"/>
    <n v="36587.919999999998"/>
  </r>
  <r>
    <s v="ORD100158"/>
    <x v="126"/>
    <s v="CUST4137"/>
    <s v="Customer_221"/>
    <n v="36"/>
    <s v="Male"/>
    <s v="Gaya"/>
    <s v="Mobile"/>
    <s v="Electronics"/>
    <n v="2"/>
    <n v="40810.01"/>
    <n v="81620.02"/>
  </r>
  <r>
    <s v="ORD100159"/>
    <x v="127"/>
    <s v="CUST5113"/>
    <s v="Customer_271"/>
    <n v="30"/>
    <s v="Female"/>
    <s v="Kolkata"/>
    <s v="Mobile"/>
    <s v="Electronics"/>
    <n v="7"/>
    <n v="28469"/>
    <n v="199283"/>
  </r>
  <r>
    <s v="ORD100160"/>
    <x v="128"/>
    <s v="CUST7263"/>
    <s v="Customer_120"/>
    <n v="55"/>
    <s v="Male"/>
    <s v="Hyderabad"/>
    <s v="Chair"/>
    <s v="Furniture"/>
    <n v="10"/>
    <n v="1085.1300000000001"/>
    <n v="10851.3"/>
  </r>
  <r>
    <s v="ORD100161"/>
    <x v="29"/>
    <s v="CUST2562"/>
    <s v="Customer_280"/>
    <n v="65"/>
    <s v="Male"/>
    <s v="Bengaluru"/>
    <s v="Rice"/>
    <s v="Grocery"/>
    <n v="3"/>
    <n v="145.78"/>
    <n v="437.34"/>
  </r>
  <r>
    <s v="ORD100162"/>
    <x v="129"/>
    <s v="CUST9297"/>
    <s v="Customer_488"/>
    <n v="27"/>
    <s v="Female"/>
    <s v="Kolkata"/>
    <s v="Mobile"/>
    <s v="Electronics"/>
    <n v="9"/>
    <n v="22636.01"/>
    <n v="203724.09"/>
  </r>
  <r>
    <s v="ORD100163"/>
    <x v="130"/>
    <s v="CUST2295"/>
    <s v="Customer_319"/>
    <n v="57"/>
    <s v="Male"/>
    <s v="Mumbai"/>
    <s v="Book"/>
    <s v="Education"/>
    <n v="6"/>
    <n v="39830.65"/>
    <n v="238983.9"/>
  </r>
  <r>
    <s v="ORD100164"/>
    <x v="131"/>
    <s v="CUST3839"/>
    <s v="Customer_274"/>
    <n v="61"/>
    <s v="Male"/>
    <s v="Bengaluru"/>
    <s v="Mobile"/>
    <s v="Electronics"/>
    <n v="10"/>
    <n v="41054.720000000001"/>
    <n v="410547.20000000001"/>
  </r>
  <r>
    <s v="ORD100165"/>
    <x v="71"/>
    <s v="CUST8010"/>
    <s v="Customer_187"/>
    <n v="41"/>
    <s v="Female"/>
    <s v="Hyderabad"/>
    <s v="Rice"/>
    <s v="Grocery"/>
    <n v="4"/>
    <n v="35300.11"/>
    <n v="141200.44"/>
  </r>
  <r>
    <s v="ORD100166"/>
    <x v="35"/>
    <s v="CUST9008"/>
    <s v="Customer_279"/>
    <n v="54"/>
    <s v="Female"/>
    <s v="Hyderabad"/>
    <s v="Book"/>
    <s v="Education"/>
    <n v="5"/>
    <n v="25053.25"/>
    <n v="125266.25"/>
  </r>
  <r>
    <s v="ORD100167"/>
    <x v="96"/>
    <s v="CUST3714"/>
    <s v="Customer_295"/>
    <n v="37"/>
    <s v="Female"/>
    <s v="Patna"/>
    <s v="Rice"/>
    <s v="Grocery"/>
    <n v="7"/>
    <n v="23674.97"/>
    <n v="165724.79"/>
  </r>
  <r>
    <s v="ORD100168"/>
    <x v="132"/>
    <s v="CUST5036"/>
    <s v="Customer_468"/>
    <n v="32"/>
    <s v="Male"/>
    <s v="Patna"/>
    <s v="Chair"/>
    <s v="Furniture"/>
    <n v="8"/>
    <n v="37436.26"/>
    <n v="299490.08"/>
  </r>
  <r>
    <s v="ORD100169"/>
    <x v="133"/>
    <s v="CUST1479"/>
    <s v="Customer_375"/>
    <n v="35"/>
    <s v="Female"/>
    <s v="Bengaluru"/>
    <s v="Chair"/>
    <s v="Furniture"/>
    <n v="10"/>
    <n v="31730.57"/>
    <n v="317305.7"/>
  </r>
  <r>
    <s v="ORD100170"/>
    <x v="114"/>
    <s v="CUST9875"/>
    <s v="Customer_6"/>
    <n v="49"/>
    <s v="Male"/>
    <s v="Bengaluru"/>
    <s v="Laptop"/>
    <s v="Electronics"/>
    <n v="4"/>
    <n v="30139.27"/>
    <n v="120557.08"/>
  </r>
  <r>
    <s v="ORD100171"/>
    <x v="134"/>
    <s v="CUST3522"/>
    <s v="Customer_67"/>
    <n v="24"/>
    <s v="Male"/>
    <s v="Bengaluru"/>
    <s v="Chair"/>
    <s v="Furniture"/>
    <n v="3"/>
    <n v="10289.67"/>
    <n v="30869.01"/>
  </r>
  <r>
    <s v="ORD100172"/>
    <x v="135"/>
    <s v="CUST4062"/>
    <s v="Customer_23"/>
    <n v="56"/>
    <s v="Female"/>
    <s v="Mumbai"/>
    <s v="Chair"/>
    <s v="Furniture"/>
    <n v="1"/>
    <n v="8906.18"/>
    <n v="8906.18"/>
  </r>
  <r>
    <s v="ORD100173"/>
    <x v="136"/>
    <s v="CUST4009"/>
    <s v="Customer_273"/>
    <n v="18"/>
    <s v="Male"/>
    <s v="Hyderabad"/>
    <s v="Rice"/>
    <s v="Grocery"/>
    <n v="2"/>
    <n v="21856.639999999999"/>
    <n v="43713.279999999999"/>
  </r>
  <r>
    <s v="ORD100174"/>
    <x v="137"/>
    <s v="CUST4685"/>
    <s v="Customer_22"/>
    <n v="35"/>
    <s v="Male"/>
    <s v="Gaya"/>
    <s v="Rice"/>
    <s v="Grocery"/>
    <n v="9"/>
    <n v="26781.39"/>
    <n v="241032.51"/>
  </r>
  <r>
    <s v="ORD100175"/>
    <x v="138"/>
    <s v="CUST3564"/>
    <s v="Customer_267"/>
    <n v="41"/>
    <s v="Male"/>
    <s v="Patna"/>
    <s v="Rice"/>
    <s v="Grocery"/>
    <n v="9"/>
    <n v="49390.42"/>
    <n v="444513.78"/>
  </r>
  <r>
    <s v="ORD100176"/>
    <x v="139"/>
    <s v="CUST8722"/>
    <s v="Customer_475"/>
    <n v="21"/>
    <s v="Male"/>
    <s v="Mumbai"/>
    <s v="Laptop"/>
    <s v="Electronics"/>
    <n v="9"/>
    <n v="21792.76"/>
    <n v="196134.84"/>
  </r>
  <r>
    <s v="ORD100177"/>
    <x v="140"/>
    <s v="CUST3602"/>
    <s v="Customer_295"/>
    <n v="54"/>
    <s v="Male"/>
    <s v="Pune"/>
    <s v="Mobile"/>
    <s v="Electronics"/>
    <n v="4"/>
    <n v="16850.46"/>
    <n v="67401.84"/>
  </r>
  <r>
    <s v="ORD100178"/>
    <x v="141"/>
    <s v="CUST9812"/>
    <s v="Customer_333"/>
    <n v="20"/>
    <s v="Female"/>
    <s v="Pune"/>
    <s v="Mobile"/>
    <s v="Electronics"/>
    <n v="2"/>
    <n v="14098.13"/>
    <n v="28196.26"/>
  </r>
  <r>
    <s v="ORD100179"/>
    <x v="142"/>
    <s v="CUST4747"/>
    <s v="Customer_193"/>
    <n v="44"/>
    <s v="Male"/>
    <s v="Gaya"/>
    <s v="Mobile"/>
    <s v="Electronics"/>
    <n v="3"/>
    <n v="34033.11"/>
    <n v="102099.33"/>
  </r>
  <r>
    <s v="ORD100180"/>
    <x v="73"/>
    <s v="CUST1766"/>
    <s v="Customer_319"/>
    <n v="27"/>
    <s v="Male"/>
    <s v="Kolkata"/>
    <s v="Laptop"/>
    <s v="Electronics"/>
    <n v="5"/>
    <n v="1423.81"/>
    <n v="7119.05"/>
  </r>
  <r>
    <s v="ORD100181"/>
    <x v="143"/>
    <s v="CUST3366"/>
    <s v="Customer_363"/>
    <n v="55"/>
    <s v="Male"/>
    <s v="Delhi"/>
    <s v="Rice"/>
    <s v="Grocery"/>
    <n v="8"/>
    <n v="29735.57"/>
    <n v="237884.56"/>
  </r>
  <r>
    <s v="ORD100182"/>
    <x v="136"/>
    <s v="CUST1215"/>
    <s v="Customer_19"/>
    <n v="35"/>
    <s v="Male"/>
    <s v="Gaya"/>
    <s v="Chair"/>
    <s v="Furniture"/>
    <n v="7"/>
    <n v="1481"/>
    <n v="10367"/>
  </r>
  <r>
    <s v="ORD100183"/>
    <x v="144"/>
    <s v="CUST3508"/>
    <s v="Customer_163"/>
    <n v="60"/>
    <s v="Female"/>
    <s v="Pune"/>
    <s v="Laptop"/>
    <s v="Electronics"/>
    <n v="8"/>
    <n v="23129.360000000001"/>
    <n v="185034.88"/>
  </r>
  <r>
    <s v="ORD100184"/>
    <x v="76"/>
    <s v="CUST5988"/>
    <s v="Customer_266"/>
    <n v="43"/>
    <s v="Male"/>
    <s v="Kolkata"/>
    <s v="Chair"/>
    <s v="Furniture"/>
    <n v="2"/>
    <n v="44336.38"/>
    <n v="88672.76"/>
  </r>
  <r>
    <s v="ORD100185"/>
    <x v="54"/>
    <s v="CUST3662"/>
    <s v="Customer_223"/>
    <n v="34"/>
    <s v="Female"/>
    <s v="Hyderabad"/>
    <s v="Laptop"/>
    <s v="Electronics"/>
    <n v="5"/>
    <n v="2983.97"/>
    <n v="14919.85"/>
  </r>
  <r>
    <s v="ORD100186"/>
    <x v="32"/>
    <s v="CUST3397"/>
    <s v="Customer_101"/>
    <n v="44"/>
    <s v="Male"/>
    <s v="Gaya"/>
    <s v="Chair"/>
    <s v="Furniture"/>
    <n v="3"/>
    <n v="8820.5499999999993"/>
    <n v="26461.65"/>
  </r>
  <r>
    <s v="ORD100187"/>
    <x v="2"/>
    <s v="CUST4777"/>
    <s v="Customer_233"/>
    <n v="60"/>
    <s v="Female"/>
    <s v="Gaya"/>
    <s v="Laptop"/>
    <s v="Electronics"/>
    <n v="1"/>
    <n v="21001.73"/>
    <n v="21001.73"/>
  </r>
  <r>
    <s v="ORD100188"/>
    <x v="145"/>
    <s v="CUST9059"/>
    <s v="Customer_288"/>
    <n v="33"/>
    <s v="Male"/>
    <s v="Delhi"/>
    <s v="Laptop"/>
    <s v="Electronics"/>
    <n v="9"/>
    <n v="16767.5"/>
    <n v="150907.5"/>
  </r>
  <r>
    <s v="ORD100189"/>
    <x v="123"/>
    <s v="CUST5600"/>
    <s v="Customer_176"/>
    <n v="27"/>
    <s v="Male"/>
    <s v="Bengaluru"/>
    <s v="Rice"/>
    <s v="Grocery"/>
    <n v="3"/>
    <n v="47959.38"/>
    <n v="143878.14000000001"/>
  </r>
  <r>
    <s v="ORD100190"/>
    <x v="146"/>
    <s v="CUST7574"/>
    <s v="Customer_66"/>
    <n v="43"/>
    <s v="Female"/>
    <s v="Delhi"/>
    <s v="Chair"/>
    <s v="Furniture"/>
    <n v="5"/>
    <n v="7642.84"/>
    <n v="38214.199999999997"/>
  </r>
  <r>
    <s v="ORD100191"/>
    <x v="113"/>
    <s v="CUST1436"/>
    <s v="Customer_144"/>
    <n v="60"/>
    <s v="Female"/>
    <s v="Delhi"/>
    <s v="Laptop"/>
    <s v="Electronics"/>
    <n v="10"/>
    <n v="1959.05"/>
    <n v="19590.5"/>
  </r>
  <r>
    <s v="ORD100192"/>
    <x v="147"/>
    <s v="CUST3625"/>
    <s v="Customer_382"/>
    <n v="55"/>
    <s v="Female"/>
    <s v="Kolkata"/>
    <s v="Mobile"/>
    <s v="Electronics"/>
    <n v="4"/>
    <n v="26460.39"/>
    <n v="105841.56"/>
  </r>
  <r>
    <s v="ORD100193"/>
    <x v="148"/>
    <s v="CUST5168"/>
    <s v="Customer_295"/>
    <n v="25"/>
    <s v="Male"/>
    <s v="Hyderabad"/>
    <s v="Laptop"/>
    <s v="Electronics"/>
    <n v="6"/>
    <n v="9132.85"/>
    <n v="54797.1"/>
  </r>
  <r>
    <s v="ORD100194"/>
    <x v="104"/>
    <s v="CUST6821"/>
    <s v="Customer_73"/>
    <n v="24"/>
    <s v="Male"/>
    <s v="Pune"/>
    <s v="Book"/>
    <s v="Education"/>
    <n v="8"/>
    <n v="34260.449999999997"/>
    <n v="274083.59999999998"/>
  </r>
  <r>
    <s v="ORD100195"/>
    <x v="133"/>
    <s v="CUST6228"/>
    <s v="Customer_466"/>
    <n v="41"/>
    <s v="Female"/>
    <s v="Pune"/>
    <s v="Book"/>
    <s v="Education"/>
    <n v="4"/>
    <n v="22321.8"/>
    <n v="89287.2"/>
  </r>
  <r>
    <s v="ORD100196"/>
    <x v="149"/>
    <s v="CUST3002"/>
    <s v="Customer_57"/>
    <n v="61"/>
    <s v="Male"/>
    <s v="Mumbai"/>
    <s v="Book"/>
    <s v="Education"/>
    <n v="8"/>
    <n v="27492.16"/>
    <n v="219937.28"/>
  </r>
  <r>
    <s v="ORD100197"/>
    <x v="93"/>
    <s v="CUST3685"/>
    <s v="Customer_94"/>
    <n v="23"/>
    <s v="Female"/>
    <s v="Delhi"/>
    <s v="Chair"/>
    <s v="Furniture"/>
    <n v="1"/>
    <n v="35489.21"/>
    <n v="35489.21"/>
  </r>
  <r>
    <s v="ORD100198"/>
    <x v="122"/>
    <s v="CUST3417"/>
    <s v="Customer_102"/>
    <n v="36"/>
    <s v="Male"/>
    <s v="Patna"/>
    <s v="Laptop"/>
    <s v="Electronics"/>
    <n v="8"/>
    <n v="31510.55"/>
    <n v="252084.4"/>
  </r>
  <r>
    <s v="ORD100199"/>
    <x v="150"/>
    <s v="CUST7187"/>
    <s v="Customer_149"/>
    <n v="38"/>
    <s v="Male"/>
    <s v="Patna"/>
    <s v="Mobile"/>
    <s v="Electronics"/>
    <n v="1"/>
    <n v="16633.849999999999"/>
    <n v="16633.849999999999"/>
  </r>
  <r>
    <s v="ORD100200"/>
    <x v="151"/>
    <s v="CUST2953"/>
    <s v="Customer_435"/>
    <m/>
    <s v="Female"/>
    <s v="Kolkata"/>
    <s v="Rice"/>
    <s v="Grocery"/>
    <n v="8"/>
    <n v="27608.55"/>
    <n v="220868.4"/>
  </r>
  <r>
    <s v="ORD100201"/>
    <x v="152"/>
    <s v="CUST2779"/>
    <s v="Customer_336"/>
    <n v="44"/>
    <s v="Female"/>
    <s v="Patna"/>
    <s v="Rice"/>
    <s v="Grocery"/>
    <n v="7"/>
    <n v="25521.26"/>
    <n v="178648.82"/>
  </r>
  <r>
    <s v="ORD100202"/>
    <x v="147"/>
    <s v="CUST6564"/>
    <s v="Customer_216"/>
    <n v="59"/>
    <s v="Female"/>
    <s v="Patna"/>
    <s v="Mobile"/>
    <s v="Electronics"/>
    <n v="4"/>
    <n v="35658.89"/>
    <n v="142635.56"/>
  </r>
  <r>
    <s v="ORD100203"/>
    <x v="110"/>
    <s v="CUST4996"/>
    <s v="Customer_449"/>
    <n v="61"/>
    <s v="Female"/>
    <s v="Hyderabad"/>
    <s v="Laptop"/>
    <s v="Electronics"/>
    <n v="8"/>
    <n v="18088.02"/>
    <n v="144704.16"/>
  </r>
  <r>
    <s v="ORD100204"/>
    <x v="153"/>
    <s v="CUST2428"/>
    <s v="Customer_127"/>
    <n v="52"/>
    <s v="Female"/>
    <s v="Mumbai"/>
    <s v="Book"/>
    <s v="Education"/>
    <n v="3"/>
    <n v="16041.29"/>
    <n v="48123.87"/>
  </r>
  <r>
    <s v="ORD100205"/>
    <x v="147"/>
    <s v="CUST2448"/>
    <s v="Customer_444"/>
    <n v="59"/>
    <s v="Female"/>
    <s v="Kolkata"/>
    <s v="Chair"/>
    <s v="Furniture"/>
    <n v="9"/>
    <n v="16533.740000000002"/>
    <n v="148803.66"/>
  </r>
  <r>
    <s v="ORD100206"/>
    <x v="106"/>
    <s v="CUST1049"/>
    <s v="Customer_243"/>
    <n v="55"/>
    <s v="Female"/>
    <s v="Hyderabad"/>
    <s v="Book"/>
    <s v="Education"/>
    <n v="1"/>
    <n v="16714.64"/>
    <n v="16714.64"/>
  </r>
  <r>
    <s v="ORD100207"/>
    <x v="14"/>
    <s v="CUST9728"/>
    <s v="Customer_338"/>
    <n v="45"/>
    <s v="Male"/>
    <s v="Gaya"/>
    <s v="Rice"/>
    <s v="Grocery"/>
    <n v="4"/>
    <n v="46356.08"/>
    <n v="185424.32"/>
  </r>
  <r>
    <s v="ORD100208"/>
    <x v="0"/>
    <s v="CUST6932"/>
    <s v="Customer_304"/>
    <n v="31"/>
    <s v="Male"/>
    <s v="Kolkata"/>
    <s v="Shoes"/>
    <s v="Fashion"/>
    <n v="8"/>
    <n v="2636.28"/>
    <n v="21090.240000000002"/>
  </r>
  <r>
    <s v="ORD100209"/>
    <x v="154"/>
    <s v="CUST9159"/>
    <s v="Customer_12"/>
    <n v="40"/>
    <s v="Female"/>
    <s v="Kolkata"/>
    <s v="Mobile"/>
    <s v="Electronics"/>
    <n v="6"/>
    <n v="34808.76"/>
    <n v="208852.56"/>
  </r>
  <r>
    <s v="ORD100210"/>
    <x v="65"/>
    <s v="CUST6518"/>
    <s v="Customer_410"/>
    <n v="44"/>
    <s v="Female"/>
    <s v="Hyderabad"/>
    <s v="Shoes"/>
    <s v="Fashion"/>
    <n v="10"/>
    <n v="17713.87"/>
    <n v="177138.7"/>
  </r>
  <r>
    <s v="ORD100211"/>
    <x v="8"/>
    <s v="CUST4756"/>
    <s v="Customer_15"/>
    <n v="55"/>
    <s v="Female"/>
    <s v="Bengaluru"/>
    <s v="Book"/>
    <s v="Education"/>
    <n v="3"/>
    <n v="4421.33"/>
    <n v="13263.99"/>
  </r>
  <r>
    <s v="ORD100212"/>
    <x v="24"/>
    <s v="CUST7659"/>
    <s v="Customer_445"/>
    <n v="20"/>
    <s v="Male"/>
    <s v="Patna"/>
    <s v="Chair"/>
    <s v="Furniture"/>
    <n v="1"/>
    <n v="49067.82"/>
    <n v="49067.82"/>
  </r>
  <r>
    <s v="ORD100213"/>
    <x v="155"/>
    <s v="CUST6727"/>
    <s v="Customer_452"/>
    <n v="34"/>
    <s v="Female"/>
    <s v="Mumbai"/>
    <s v="Mobile"/>
    <s v="Electronics"/>
    <n v="6"/>
    <n v="18644.18"/>
    <n v="111865.08"/>
  </r>
  <r>
    <s v="ORD100214"/>
    <x v="65"/>
    <s v="CUST8049"/>
    <s v="Customer_384"/>
    <n v="37"/>
    <s v="Female"/>
    <s v="Delhi"/>
    <s v="Laptop"/>
    <s v="Electronics"/>
    <n v="9"/>
    <n v="14462.81"/>
    <n v="130165.29"/>
  </r>
  <r>
    <s v="ORD100215"/>
    <x v="156"/>
    <s v="CUST4705"/>
    <s v="Customer_53"/>
    <n v="43"/>
    <s v="Female"/>
    <s v="Hyderabad"/>
    <s v="Shoes"/>
    <s v="Fashion"/>
    <n v="1"/>
    <n v="29838.32"/>
    <n v="29838.32"/>
  </r>
  <r>
    <s v="ORD100216"/>
    <x v="18"/>
    <s v="CUST5355"/>
    <s v="Customer_108"/>
    <n v="23"/>
    <s v="Male"/>
    <s v="Delhi"/>
    <s v="Rice"/>
    <s v="Grocery"/>
    <n v="5"/>
    <n v="9508.4"/>
    <n v="47542"/>
  </r>
  <r>
    <s v="ORD100217"/>
    <x v="157"/>
    <s v="CUST3186"/>
    <s v="Customer_412"/>
    <n v="60"/>
    <s v="Female"/>
    <s v="Delhi"/>
    <s v="Mobile"/>
    <s v="Electronics"/>
    <n v="4"/>
    <n v="39054.949999999997"/>
    <n v="156219.79999999999"/>
  </r>
  <r>
    <s v="ORD100218"/>
    <x v="158"/>
    <s v="CUST1822"/>
    <s v="Customer_174"/>
    <n v="39"/>
    <s v="Male"/>
    <s v="Kolkata"/>
    <s v="Mobile"/>
    <s v="Electronics"/>
    <n v="6"/>
    <n v="20308.849999999999"/>
    <n v="121853.1"/>
  </r>
  <r>
    <s v="ORD100219"/>
    <x v="159"/>
    <s v="CUST9645"/>
    <s v="Customer_341"/>
    <n v="25"/>
    <s v="Female"/>
    <s v="Hyderabad"/>
    <s v="Rice"/>
    <s v="Grocery"/>
    <n v="4"/>
    <n v="15549.95"/>
    <n v="62199.8"/>
  </r>
  <r>
    <s v="ORD100220"/>
    <x v="22"/>
    <s v="CUST2997"/>
    <s v="Customer_181"/>
    <n v="23"/>
    <s v="Female"/>
    <s v="Hyderabad"/>
    <s v="Laptop"/>
    <s v="Electronics"/>
    <n v="1"/>
    <n v="34192.300000000003"/>
    <n v="34192.300000000003"/>
  </r>
  <r>
    <s v="ORD100221"/>
    <x v="145"/>
    <s v="CUST2088"/>
    <s v="Customer_382"/>
    <n v="65"/>
    <s v="Female"/>
    <s v="Hyderabad"/>
    <s v="Book"/>
    <s v="Education"/>
    <n v="2"/>
    <n v="12214.1"/>
    <n v="24428.2"/>
  </r>
  <r>
    <s v="ORD100222"/>
    <x v="160"/>
    <s v="CUST1711"/>
    <s v="Customer_36"/>
    <n v="20"/>
    <s v="Female"/>
    <s v="Bengaluru"/>
    <s v="Shoes"/>
    <s v="Fashion"/>
    <n v="10"/>
    <n v="49086.64"/>
    <n v="490866.4"/>
  </r>
  <r>
    <s v="ORD100223"/>
    <x v="161"/>
    <s v="CUST9840"/>
    <s v="Customer_347"/>
    <n v="38"/>
    <s v="Female"/>
    <s v="Bengaluru"/>
    <s v="Mobile"/>
    <s v="Electronics"/>
    <n v="8"/>
    <n v="20404.62"/>
    <n v="163236.96"/>
  </r>
  <r>
    <s v="ORD100224"/>
    <x v="118"/>
    <s v="CUST7613"/>
    <s v="Customer_432"/>
    <n v="22"/>
    <s v="Male"/>
    <s v="Mumbai"/>
    <s v="Laptop"/>
    <s v="Electronics"/>
    <n v="8"/>
    <n v="49347.28"/>
    <n v="394778.24"/>
  </r>
  <r>
    <s v="ORD100225"/>
    <x v="52"/>
    <s v="CUST1443"/>
    <s v="Customer_315"/>
    <n v="37"/>
    <s v="Female"/>
    <m/>
    <s v="Rice"/>
    <s v="Grocery"/>
    <n v="1"/>
    <n v="25336.7"/>
    <n v="25336.7"/>
  </r>
  <r>
    <s v="ORD100226"/>
    <x v="122"/>
    <s v="CUST9319"/>
    <s v="Customer_434"/>
    <n v="54"/>
    <s v="Female"/>
    <s v="Pune"/>
    <s v="Rice"/>
    <s v="Grocery"/>
    <n v="5"/>
    <n v="7361.11"/>
    <n v="36805.550000000003"/>
  </r>
  <r>
    <s v="ORD100227"/>
    <x v="162"/>
    <s v="CUST6773"/>
    <s v="Customer_200"/>
    <n v="22"/>
    <s v="Male"/>
    <s v="Hyderabad"/>
    <s v="Laptop"/>
    <s v="Electronics"/>
    <n v="4"/>
    <n v="33205.94"/>
    <n v="132823.76"/>
  </r>
  <r>
    <s v="ORD100228"/>
    <x v="66"/>
    <s v="CUST5214"/>
    <s v="Customer_142"/>
    <n v="63"/>
    <s v="Female"/>
    <s v="Patna"/>
    <s v="Chair"/>
    <s v="Furniture"/>
    <n v="4"/>
    <n v="21609.52"/>
    <n v="86438.080000000002"/>
  </r>
  <r>
    <s v="ORD100229"/>
    <x v="103"/>
    <s v="CUST3618"/>
    <s v="Customer_131"/>
    <n v="28"/>
    <s v="Male"/>
    <s v="Pune"/>
    <s v="Laptop"/>
    <s v="Electronics"/>
    <n v="10"/>
    <n v="33072.39"/>
    <n v="330723.90000000002"/>
  </r>
  <r>
    <s v="ORD100230"/>
    <x v="163"/>
    <s v="CUST3668"/>
    <s v="Customer_415"/>
    <n v="63"/>
    <s v="Male"/>
    <s v="Patna"/>
    <s v="Mobile"/>
    <s v="Electronics"/>
    <n v="6"/>
    <n v="46679.69"/>
    <n v="280078.14"/>
  </r>
  <r>
    <s v="ORD100231"/>
    <x v="59"/>
    <s v="CUST7315"/>
    <s v="Customer_283"/>
    <n v="45"/>
    <s v="Female"/>
    <s v="Mumbai"/>
    <s v="Book"/>
    <s v="Education"/>
    <n v="3"/>
    <n v="17931.34"/>
    <n v="53794.02"/>
  </r>
  <r>
    <s v="ORD100232"/>
    <x v="164"/>
    <s v="CUST9158"/>
    <s v="Customer_297"/>
    <n v="61"/>
    <s v="Male"/>
    <s v="Gaya"/>
    <s v="Chair"/>
    <s v="Furniture"/>
    <n v="4"/>
    <n v="5518.32"/>
    <n v="22073.279999999999"/>
  </r>
  <r>
    <s v="ORD100233"/>
    <x v="141"/>
    <s v="CUST6522"/>
    <s v="Customer_468"/>
    <n v="61"/>
    <s v="Male"/>
    <s v="Mumbai"/>
    <s v="Book"/>
    <s v="Education"/>
    <n v="7"/>
    <n v="15331.09"/>
    <n v="107317.63"/>
  </r>
  <r>
    <s v="ORD100234"/>
    <x v="165"/>
    <s v="CUST3760"/>
    <s v="Customer_360"/>
    <n v="63"/>
    <s v="Female"/>
    <s v="Bengaluru"/>
    <s v="Shoes"/>
    <s v="Fashion"/>
    <n v="1"/>
    <n v="41626.11"/>
    <n v="41626.11"/>
  </r>
  <r>
    <s v="ORD100235"/>
    <x v="29"/>
    <s v="CUST5079"/>
    <s v="Customer_348"/>
    <n v="41"/>
    <s v="Female"/>
    <s v="Bengaluru"/>
    <s v="Chair"/>
    <s v="Furniture"/>
    <n v="8"/>
    <n v="33479.620000000003"/>
    <n v="267836.96000000002"/>
  </r>
  <r>
    <s v="ORD100236"/>
    <x v="101"/>
    <s v="CUST6082"/>
    <s v="Customer_301"/>
    <n v="62"/>
    <s v="Male"/>
    <s v="Mumbai"/>
    <s v="Laptop"/>
    <s v="Electronics"/>
    <n v="9"/>
    <n v="44135.66"/>
    <n v="397220.94"/>
  </r>
  <r>
    <s v="ORD100237"/>
    <x v="166"/>
    <s v="CUST8311"/>
    <s v="Customer_225"/>
    <n v="32"/>
    <s v="Male"/>
    <s v="Bengaluru"/>
    <s v="Mobile"/>
    <s v="Electronics"/>
    <n v="10"/>
    <n v="4504.8900000000003"/>
    <n v="45048.9"/>
  </r>
  <r>
    <s v="ORD100238"/>
    <x v="167"/>
    <s v="CUST5945"/>
    <s v="Customer_49"/>
    <n v="40"/>
    <s v="Female"/>
    <s v="Kolkata"/>
    <s v="Shoes"/>
    <s v="Fashion"/>
    <n v="7"/>
    <n v="28710.98"/>
    <n v="200976.86"/>
  </r>
  <r>
    <s v="ORD100239"/>
    <x v="168"/>
    <s v="CUST9191"/>
    <s v="Customer_323"/>
    <n v="38"/>
    <s v="Male"/>
    <s v="Hyderabad"/>
    <s v="Book"/>
    <s v="Education"/>
    <n v="6"/>
    <n v="25562.3"/>
    <n v="153373.79999999999"/>
  </r>
  <r>
    <s v="ORD100050"/>
    <x v="97"/>
    <s v="CUST8467"/>
    <s v="Customer_104"/>
    <n v="23"/>
    <s v="Male"/>
    <s v="Bengaluru"/>
    <s v="Book"/>
    <s v="Education"/>
    <n v="3"/>
    <n v="2860.83"/>
    <n v="8582.49"/>
  </r>
  <r>
    <s v="ORD100241"/>
    <x v="169"/>
    <s v="CUST1197"/>
    <s v="Customer_419"/>
    <n v="36"/>
    <s v="Male"/>
    <s v="Pune"/>
    <s v="Book"/>
    <s v="Education"/>
    <n v="4"/>
    <n v="1486.03"/>
    <n v="5944.12"/>
  </r>
  <r>
    <s v="ORD100242"/>
    <x v="102"/>
    <s v="CUST6111"/>
    <s v="Customer_204"/>
    <n v="34"/>
    <s v="Female"/>
    <s v="Hyderabad"/>
    <s v="Laptop"/>
    <s v="Electronics"/>
    <n v="8"/>
    <n v="4159.17"/>
    <n v="33273.360000000001"/>
  </r>
  <r>
    <s v="ORD100243"/>
    <x v="170"/>
    <s v="CUST1367"/>
    <s v="Customer_48"/>
    <n v="21"/>
    <s v="Female"/>
    <s v="Bengaluru"/>
    <s v="Book"/>
    <s v="Education"/>
    <n v="7"/>
    <n v="6218.47"/>
    <n v="43529.29"/>
  </r>
  <r>
    <s v="ORD100244"/>
    <x v="100"/>
    <s v="CUST6584"/>
    <s v="Customer_449"/>
    <n v="21"/>
    <s v="Male"/>
    <s v="Mumbai"/>
    <s v="Mobile"/>
    <s v="Electronics"/>
    <n v="10"/>
    <n v="29646.26"/>
    <n v="296462.59999999998"/>
  </r>
  <r>
    <s v="ORD100245"/>
    <x v="171"/>
    <s v="CUST2862"/>
    <s v="Customer_122"/>
    <n v="25"/>
    <s v="Male"/>
    <s v="Bengaluru"/>
    <s v="Rice"/>
    <s v="Grocery"/>
    <n v="7"/>
    <n v="10674.88"/>
    <n v="74724.160000000003"/>
  </r>
  <r>
    <s v="ORD100246"/>
    <x v="38"/>
    <s v="CUST4094"/>
    <s v="Customer_382"/>
    <n v="51"/>
    <s v="Male"/>
    <s v="Hyderabad"/>
    <s v="Rice"/>
    <s v="Grocery"/>
    <n v="4"/>
    <n v="44577.29"/>
    <n v="178309.16"/>
  </r>
  <r>
    <s v="ORD100247"/>
    <x v="119"/>
    <s v="CUST5129"/>
    <s v="Customer_404"/>
    <n v="54"/>
    <s v="Male"/>
    <s v="Bengaluru"/>
    <s v="Book"/>
    <s v="Education"/>
    <n v="6"/>
    <n v="36587.03"/>
    <n v="219522.18"/>
  </r>
  <r>
    <s v="ORD100248"/>
    <x v="172"/>
    <s v="CUST4629"/>
    <s v="Customer_167"/>
    <n v="40"/>
    <s v="Female"/>
    <s v="Patna"/>
    <s v="Mobile"/>
    <s v="Electronics"/>
    <n v="3"/>
    <n v="25277.79"/>
    <n v="75833.37"/>
  </r>
  <r>
    <s v="ORD100249"/>
    <x v="173"/>
    <s v="CUST5454"/>
    <s v="Customer_368"/>
    <n v="19"/>
    <s v="Female"/>
    <s v="Hyderabad"/>
    <s v="Chair"/>
    <s v="Furniture"/>
    <n v="10"/>
    <n v="30855.5"/>
    <n v="308555"/>
  </r>
  <r>
    <s v="ORD100250"/>
    <x v="174"/>
    <s v="CUST3169"/>
    <s v="Customer_138"/>
    <m/>
    <s v="Female"/>
    <s v="Delhi"/>
    <s v="Mobile"/>
    <s v="Electronics"/>
    <n v="7"/>
    <n v="19829.73"/>
    <n v="138808.10999999999"/>
  </r>
  <r>
    <s v="ORD100251"/>
    <x v="175"/>
    <s v="CUST9047"/>
    <s v="Customer_363"/>
    <n v="42"/>
    <s v="Male"/>
    <s v="Patna"/>
    <s v="Laptop"/>
    <s v="Electronics"/>
    <n v="7"/>
    <n v="46461.17"/>
    <n v="325228.19"/>
  </r>
  <r>
    <s v="ORD100252"/>
    <x v="176"/>
    <s v="CUST9097"/>
    <s v="Customer_384"/>
    <n v="26"/>
    <s v="Male"/>
    <s v="Hyderabad"/>
    <s v="Book"/>
    <s v="Education"/>
    <n v="2"/>
    <n v="32168.36"/>
    <n v="64336.72"/>
  </r>
  <r>
    <s v="ORD100253"/>
    <x v="8"/>
    <s v="CUST2006"/>
    <s v="Customer_131"/>
    <n v="50"/>
    <s v="Male"/>
    <s v="Kolkata"/>
    <s v="Book"/>
    <s v="Education"/>
    <n v="2"/>
    <n v="1655.36"/>
    <n v="3310.72"/>
  </r>
  <r>
    <s v="ORD100254"/>
    <x v="177"/>
    <s v="CUST5418"/>
    <s v="Customer_491"/>
    <n v="41"/>
    <s v="Female"/>
    <s v="Kolkata"/>
    <s v="Book"/>
    <s v="Education"/>
    <n v="4"/>
    <n v="44463.18"/>
    <n v="177852.72"/>
  </r>
  <r>
    <s v="ORD100255"/>
    <x v="10"/>
    <s v="CUST8067"/>
    <s v="Customer_283"/>
    <n v="47"/>
    <s v="Female"/>
    <s v="Patna"/>
    <s v="Chair"/>
    <s v="Furniture"/>
    <n v="6"/>
    <n v="43576.14"/>
    <n v="261456.84"/>
  </r>
  <r>
    <s v="ORD100256"/>
    <x v="31"/>
    <s v="CUST3080"/>
    <s v="Customer_378"/>
    <n v="41"/>
    <s v="Female"/>
    <s v="Pune"/>
    <s v="Chair"/>
    <s v="Furniture"/>
    <n v="1"/>
    <n v="43789.89"/>
    <n v="43789.89"/>
  </r>
  <r>
    <s v="ORD100257"/>
    <x v="81"/>
    <s v="CUST6728"/>
    <s v="Customer_413"/>
    <n v="64"/>
    <s v="Male"/>
    <s v="Bengaluru"/>
    <s v="Mobile"/>
    <s v="Electronics"/>
    <n v="1"/>
    <n v="34757.71"/>
    <n v="34757.71"/>
  </r>
  <r>
    <s v="ORD100258"/>
    <x v="178"/>
    <s v="CUST7801"/>
    <s v="Customer_150"/>
    <n v="41"/>
    <s v="Male"/>
    <s v="Pune"/>
    <s v="Chair"/>
    <s v="Furniture"/>
    <n v="7"/>
    <n v="6196.22"/>
    <n v="43373.54"/>
  </r>
  <r>
    <s v="ORD100259"/>
    <x v="179"/>
    <s v="CUST4686"/>
    <s v="Customer_473"/>
    <n v="27"/>
    <s v="Male"/>
    <s v="Pune"/>
    <s v="Rice"/>
    <s v="Grocery"/>
    <n v="8"/>
    <n v="36364.839999999997"/>
    <n v="290918.71999999997"/>
  </r>
  <r>
    <s v="ORD100260"/>
    <x v="134"/>
    <s v="CUST6345"/>
    <s v="Customer_420"/>
    <n v="32"/>
    <s v="Male"/>
    <s v="Hyderabad"/>
    <s v="Chair"/>
    <s v="Furniture"/>
    <n v="3"/>
    <n v="15948.34"/>
    <n v="47845.02"/>
  </r>
  <r>
    <s v="ORD100261"/>
    <x v="180"/>
    <s v="CUST6927"/>
    <s v="Customer_165"/>
    <n v="23"/>
    <s v="Male"/>
    <s v="Gaya"/>
    <s v="Chair"/>
    <s v="Furniture"/>
    <n v="5"/>
    <n v="17292.400000000001"/>
    <n v="86462"/>
  </r>
  <r>
    <s v="ORD100262"/>
    <x v="181"/>
    <s v="CUST8686"/>
    <s v="Customer_404"/>
    <n v="56"/>
    <s v="Female"/>
    <s v="Patna"/>
    <s v="Chair"/>
    <s v="Furniture"/>
    <n v="6"/>
    <n v="29255.02"/>
    <n v="175530.12"/>
  </r>
  <r>
    <s v="ORD100263"/>
    <x v="182"/>
    <s v="CUST6585"/>
    <s v="Customer_214"/>
    <n v="21"/>
    <s v="Male"/>
    <s v="Hyderabad"/>
    <s v="Rice"/>
    <s v="Grocery"/>
    <n v="4"/>
    <n v="25906.46"/>
    <n v="103625.84"/>
  </r>
  <r>
    <s v="ORD100264"/>
    <x v="183"/>
    <s v="CUST7176"/>
    <s v="Customer_434"/>
    <n v="33"/>
    <s v="Male"/>
    <s v="Bengaluru"/>
    <s v="Chair"/>
    <s v="Furniture"/>
    <n v="9"/>
    <n v="6110.1"/>
    <n v="54990.9"/>
  </r>
  <r>
    <s v="ORD100265"/>
    <x v="170"/>
    <s v="CUST9233"/>
    <s v="Customer_485"/>
    <n v="35"/>
    <s v="Male"/>
    <s v="Hyderabad"/>
    <s v="Chair"/>
    <s v="Furniture"/>
    <n v="10"/>
    <n v="36331.75"/>
    <n v="363317.5"/>
  </r>
  <r>
    <s v="ORD100266"/>
    <x v="184"/>
    <s v="CUST7501"/>
    <s v="Customer_2"/>
    <n v="40"/>
    <s v="Female"/>
    <s v="Gaya"/>
    <s v="Rice"/>
    <s v="Grocery"/>
    <n v="8"/>
    <n v="6459.95"/>
    <n v="51679.6"/>
  </r>
  <r>
    <s v="ORD100267"/>
    <x v="11"/>
    <s v="CUST7082"/>
    <s v="Customer_492"/>
    <n v="21"/>
    <s v="Female"/>
    <s v="Bengaluru"/>
    <s v="Book"/>
    <s v="Education"/>
    <n v="4"/>
    <n v="25164.5"/>
    <n v="100658"/>
  </r>
  <r>
    <s v="ORD100268"/>
    <x v="114"/>
    <s v="CUST2463"/>
    <s v="Customer_390"/>
    <n v="25"/>
    <s v="Male"/>
    <s v="Bengaluru"/>
    <s v="Laptop"/>
    <s v="Electronics"/>
    <n v="5"/>
    <n v="49665.71"/>
    <n v="248328.55"/>
  </r>
  <r>
    <s v="ORD100269"/>
    <x v="25"/>
    <s v="CUST1662"/>
    <s v="Customer_365"/>
    <n v="31"/>
    <s v="Female"/>
    <s v="Pune"/>
    <s v="Book"/>
    <s v="Education"/>
    <n v="7"/>
    <n v="13789.53"/>
    <n v="96526.71"/>
  </r>
  <r>
    <s v="ORD100270"/>
    <x v="45"/>
    <s v="CUST7413"/>
    <s v="Customer_4"/>
    <n v="54"/>
    <s v="Male"/>
    <s v="Kolkata"/>
    <s v="Laptop"/>
    <s v="Electronics"/>
    <n v="5"/>
    <n v="16404.25"/>
    <n v="82021.25"/>
  </r>
  <r>
    <s v="ORD100271"/>
    <x v="185"/>
    <s v="CUST1994"/>
    <s v="Customer_390"/>
    <n v="48"/>
    <s v="Male"/>
    <s v="Pune"/>
    <s v="Book"/>
    <s v="Education"/>
    <n v="3"/>
    <n v="32373.88"/>
    <n v="97121.64"/>
  </r>
  <r>
    <s v="ORD100272"/>
    <x v="186"/>
    <s v="CUST6173"/>
    <s v="Customer_51"/>
    <n v="22"/>
    <s v="Male"/>
    <s v="Pune"/>
    <s v="Mobile"/>
    <s v="Electronics"/>
    <n v="7"/>
    <n v="21466.959999999999"/>
    <n v="150268.72"/>
  </r>
  <r>
    <s v="ORD100273"/>
    <x v="161"/>
    <s v="CUST7374"/>
    <s v="Customer_375"/>
    <n v="62"/>
    <s v="Female"/>
    <s v="Patna"/>
    <s v="Book"/>
    <s v="Education"/>
    <n v="5"/>
    <n v="47201.84"/>
    <n v="236009.2"/>
  </r>
  <r>
    <s v="ORD100274"/>
    <x v="187"/>
    <s v="CUST4737"/>
    <s v="Customer_367"/>
    <n v="22"/>
    <s v="Female"/>
    <s v="Patna"/>
    <s v="Book"/>
    <s v="Education"/>
    <n v="5"/>
    <n v="36171.660000000003"/>
    <n v="180858.3"/>
  </r>
  <r>
    <s v="ORD100275"/>
    <x v="138"/>
    <s v="CUST3689"/>
    <s v="Customer_335"/>
    <n v="34"/>
    <s v="Female"/>
    <s v="Patna"/>
    <s v="Laptop"/>
    <s v="Electronics"/>
    <n v="8"/>
    <n v="47311.77"/>
    <n v="378494.16"/>
  </r>
  <r>
    <s v="ORD100276"/>
    <x v="188"/>
    <s v="CUST6444"/>
    <s v="Customer_251"/>
    <n v="23"/>
    <s v="Female"/>
    <s v="Mumbai"/>
    <s v="Book"/>
    <s v="Education"/>
    <n v="9"/>
    <n v="28865.26"/>
    <n v="259787.34"/>
  </r>
  <r>
    <s v="ORD100277"/>
    <x v="121"/>
    <s v="CUST2152"/>
    <s v="Customer_99"/>
    <n v="63"/>
    <s v="Female"/>
    <s v="Bengaluru"/>
    <s v="Mobile"/>
    <s v="Electronics"/>
    <n v="2"/>
    <n v="48433.7"/>
    <n v="96867.4"/>
  </r>
  <r>
    <s v="ORD100278"/>
    <x v="22"/>
    <s v="CUST1636"/>
    <s v="Customer_243"/>
    <n v="63"/>
    <s v="Female"/>
    <s v="Patna"/>
    <s v="Chair"/>
    <s v="Furniture"/>
    <n v="7"/>
    <n v="7528.42"/>
    <n v="52698.94"/>
  </r>
  <r>
    <s v="ORD100279"/>
    <x v="189"/>
    <s v="CUST3341"/>
    <s v="Customer_263"/>
    <n v="54"/>
    <s v="Male"/>
    <s v="Gaya"/>
    <s v="Mobile"/>
    <s v="Electronics"/>
    <n v="4"/>
    <n v="46629.93"/>
    <n v="186519.72"/>
  </r>
  <r>
    <s v="ORD100280"/>
    <x v="190"/>
    <s v="CUST1463"/>
    <s v="Customer_397"/>
    <n v="21"/>
    <s v="Female"/>
    <s v="Bengaluru"/>
    <s v="Shoes"/>
    <s v="Fashion"/>
    <n v="3"/>
    <n v="32403.32"/>
    <n v="97209.96"/>
  </r>
  <r>
    <s v="ORD100281"/>
    <x v="185"/>
    <s v="CUST3877"/>
    <s v="Customer_133"/>
    <n v="18"/>
    <s v="Male"/>
    <s v="Delhi"/>
    <s v="Mobile"/>
    <s v="Electronics"/>
    <n v="6"/>
    <n v="14220.63"/>
    <n v="85323.78"/>
  </r>
  <r>
    <s v="ORD100282"/>
    <x v="191"/>
    <s v="CUST6407"/>
    <s v="Customer_157"/>
    <n v="26"/>
    <s v="Female"/>
    <s v="Delhi"/>
    <s v="Laptop"/>
    <s v="Electronics"/>
    <n v="6"/>
    <n v="5810.2"/>
    <n v="34861.199999999997"/>
  </r>
  <r>
    <s v="ORD100283"/>
    <x v="192"/>
    <s v="CUST4381"/>
    <s v="Customer_324"/>
    <n v="39"/>
    <s v="Female"/>
    <s v="Kolkata"/>
    <s v="Laptop"/>
    <s v="Electronics"/>
    <n v="6"/>
    <n v="22627.46"/>
    <n v="135764.76"/>
  </r>
  <r>
    <s v="ORD100284"/>
    <x v="193"/>
    <s v="CUST5097"/>
    <s v="Customer_302"/>
    <n v="65"/>
    <s v="Female"/>
    <s v="Mumbai"/>
    <s v="Mobile"/>
    <s v="Electronics"/>
    <n v="9"/>
    <n v="20619.080000000002"/>
    <n v="185571.72"/>
  </r>
  <r>
    <s v="ORD100285"/>
    <x v="194"/>
    <s v="CUST9910"/>
    <s v="Customer_110"/>
    <n v="18"/>
    <s v="Male"/>
    <s v="Hyderabad"/>
    <s v="Shoes"/>
    <s v="Fashion"/>
    <n v="2"/>
    <n v="45034.12"/>
    <n v="90068.24"/>
  </r>
  <r>
    <s v="ORD100286"/>
    <x v="195"/>
    <s v="CUST7806"/>
    <s v="Customer_4"/>
    <n v="64"/>
    <s v="Female"/>
    <s v="Hyderabad"/>
    <s v="Rice"/>
    <s v="Grocery"/>
    <n v="2"/>
    <n v="40768.5"/>
    <n v="81537"/>
  </r>
  <r>
    <s v="ORD100287"/>
    <x v="139"/>
    <s v="CUST8105"/>
    <s v="Customer_385"/>
    <n v="52"/>
    <s v="Male"/>
    <s v="Delhi"/>
    <s v="Mobile"/>
    <s v="Electronics"/>
    <n v="3"/>
    <n v="35888.629999999997"/>
    <n v="107665.89"/>
  </r>
  <r>
    <s v="ORD100288"/>
    <x v="130"/>
    <s v="CUST6002"/>
    <s v="Customer_83"/>
    <n v="46"/>
    <s v="Male"/>
    <s v="Delhi"/>
    <s v="Laptop"/>
    <s v="Electronics"/>
    <n v="9"/>
    <n v="23875.09"/>
    <n v="214875.81"/>
  </r>
  <r>
    <s v="ORD100289"/>
    <x v="84"/>
    <s v="CUST1334"/>
    <s v="Customer_364"/>
    <n v="31"/>
    <s v="Male"/>
    <s v="Kolkata"/>
    <s v="Shoes"/>
    <s v="Fashion"/>
    <n v="2"/>
    <n v="17100.29"/>
    <n v="34200.58"/>
  </r>
  <r>
    <s v="ORD100290"/>
    <x v="196"/>
    <s v="CUST9248"/>
    <s v="Customer_451"/>
    <n v="51"/>
    <s v="Male"/>
    <s v="Mumbai"/>
    <s v="Chair"/>
    <s v="Furniture"/>
    <n v="7"/>
    <n v="15202.84"/>
    <n v="106419.88"/>
  </r>
  <r>
    <s v="ORD100291"/>
    <x v="126"/>
    <s v="CUST7152"/>
    <s v="Customer_423"/>
    <n v="22"/>
    <s v="Female"/>
    <s v="Patna"/>
    <s v="Mobile"/>
    <s v="Electronics"/>
    <n v="6"/>
    <n v="17696.96"/>
    <n v="106181.75999999999"/>
  </r>
  <r>
    <s v="ORD100292"/>
    <x v="34"/>
    <s v="CUST8650"/>
    <s v="Customer_384"/>
    <n v="23"/>
    <s v="Male"/>
    <s v="Gaya"/>
    <s v="Rice"/>
    <s v="Grocery"/>
    <n v="6"/>
    <n v="13138.1"/>
    <n v="78828.600000000006"/>
  </r>
  <r>
    <s v="ORD100293"/>
    <x v="8"/>
    <s v="CUST9284"/>
    <s v="Customer_212"/>
    <n v="44"/>
    <s v="Female"/>
    <s v="Kolkata"/>
    <s v="Book"/>
    <s v="Education"/>
    <n v="5"/>
    <n v="3842.06"/>
    <n v="19210.3"/>
  </r>
  <r>
    <s v="ORD100294"/>
    <x v="197"/>
    <s v="CUST4169"/>
    <s v="Customer_307"/>
    <n v="41"/>
    <s v="Female"/>
    <s v="Hyderabad"/>
    <s v="Rice"/>
    <s v="Grocery"/>
    <n v="4"/>
    <n v="6495.5"/>
    <n v="25982"/>
  </r>
  <r>
    <s v="ORD100295"/>
    <x v="170"/>
    <s v="CUST3464"/>
    <s v="Customer_1"/>
    <n v="18"/>
    <s v="Female"/>
    <s v="Bengaluru"/>
    <s v="Book"/>
    <s v="Education"/>
    <n v="4"/>
    <n v="43207.48"/>
    <n v="172829.92"/>
  </r>
  <r>
    <s v="ORD100296"/>
    <x v="41"/>
    <s v="CUST8294"/>
    <s v="Customer_103"/>
    <n v="30"/>
    <s v="Female"/>
    <s v="Hyderabad"/>
    <s v="Book"/>
    <s v="Education"/>
    <n v="4"/>
    <n v="49876.67"/>
    <n v="199506.68"/>
  </r>
  <r>
    <s v="ORD100297"/>
    <x v="198"/>
    <s v="CUST4845"/>
    <s v="Customer_401"/>
    <n v="18"/>
    <s v="Male"/>
    <s v="Mumbai"/>
    <s v="Chair"/>
    <s v="Furniture"/>
    <n v="1"/>
    <n v="2599.12"/>
    <n v="2599.12"/>
  </r>
  <r>
    <s v="ORD100298"/>
    <x v="199"/>
    <s v="CUST6538"/>
    <s v="Customer_365"/>
    <n v="37"/>
    <s v="Female"/>
    <s v="Pune"/>
    <s v="Mobile"/>
    <s v="Electronics"/>
    <n v="4"/>
    <n v="6652.95"/>
    <n v="26611.8"/>
  </r>
  <r>
    <s v="ORD100299"/>
    <x v="108"/>
    <s v="CUST6028"/>
    <s v="Customer_58"/>
    <n v="39"/>
    <s v="Male"/>
    <s v="Delhi"/>
    <s v="Laptop"/>
    <s v="Electronics"/>
    <n v="4"/>
    <n v="20533.23"/>
    <n v="82132.92"/>
  </r>
  <r>
    <s v="ORD100300"/>
    <x v="142"/>
    <s v="CUST7944"/>
    <s v="Customer_282"/>
    <m/>
    <s v="Male"/>
    <m/>
    <s v="Chair"/>
    <s v="Furniture"/>
    <n v="6"/>
    <n v="28595.31"/>
    <n v="171571.86"/>
  </r>
  <r>
    <s v="ORD100301"/>
    <x v="200"/>
    <s v="CUST5406"/>
    <s v="Customer_164"/>
    <n v="30"/>
    <s v="Male"/>
    <s v="Kolkata"/>
    <s v="Mobile"/>
    <s v="Electronics"/>
    <n v="5"/>
    <n v="9509.1299999999992"/>
    <n v="47545.65"/>
  </r>
  <r>
    <s v="ORD100302"/>
    <x v="28"/>
    <s v="CUST9552"/>
    <s v="Customer_340"/>
    <n v="30"/>
    <s v="Male"/>
    <s v="Patna"/>
    <s v="Chair"/>
    <s v="Furniture"/>
    <n v="7"/>
    <n v="1106.55"/>
    <n v="7745.85"/>
  </r>
  <r>
    <s v="ORD100303"/>
    <x v="100"/>
    <s v="CUST3059"/>
    <s v="Customer_104"/>
    <n v="36"/>
    <s v="Male"/>
    <s v="Patna"/>
    <s v="Shoes"/>
    <s v="Fashion"/>
    <n v="6"/>
    <n v="39075.07"/>
    <n v="234450.42"/>
  </r>
  <r>
    <s v="ORD100304"/>
    <x v="56"/>
    <s v="CUST1183"/>
    <s v="Customer_189"/>
    <n v="20"/>
    <s v="Female"/>
    <s v="Gaya"/>
    <s v="Chair"/>
    <s v="Furniture"/>
    <n v="7"/>
    <n v="7046.4"/>
    <n v="49324.800000000003"/>
  </r>
  <r>
    <s v="ORD100305"/>
    <x v="201"/>
    <s v="CUST1088"/>
    <s v="Customer_1"/>
    <n v="40"/>
    <s v="Male"/>
    <s v="Patna"/>
    <s v="Shoes"/>
    <s v="Fashion"/>
    <n v="5"/>
    <n v="40763.949999999997"/>
    <n v="203819.75"/>
  </r>
  <r>
    <s v="ORD100306"/>
    <x v="202"/>
    <s v="CUST8195"/>
    <s v="Customer_388"/>
    <n v="52"/>
    <s v="Female"/>
    <s v="Patna"/>
    <s v="Shoes"/>
    <s v="Fashion"/>
    <n v="1"/>
    <n v="3727.43"/>
    <n v="3727.43"/>
  </r>
  <r>
    <s v="ORD100307"/>
    <x v="71"/>
    <s v="CUST1231"/>
    <s v="Customer_339"/>
    <n v="53"/>
    <s v="Male"/>
    <s v="Patna"/>
    <s v="Rice"/>
    <s v="Grocery"/>
    <n v="4"/>
    <n v="46771.94"/>
    <n v="187087.76"/>
  </r>
  <r>
    <s v="ORD100308"/>
    <x v="53"/>
    <s v="CUST6206"/>
    <s v="Customer_18"/>
    <n v="50"/>
    <s v="Male"/>
    <s v="Kolkata"/>
    <s v="Book"/>
    <s v="Education"/>
    <n v="7"/>
    <n v="43207.91"/>
    <n v="302455.37"/>
  </r>
  <r>
    <s v="ORD100309"/>
    <x v="157"/>
    <s v="CUST7625"/>
    <s v="Customer_251"/>
    <n v="50"/>
    <s v="Female"/>
    <s v="Patna"/>
    <s v="Book"/>
    <s v="Education"/>
    <n v="3"/>
    <n v="5803.11"/>
    <n v="17409.330000000002"/>
  </r>
  <r>
    <s v="ORD100310"/>
    <x v="203"/>
    <s v="CUST1762"/>
    <s v="Customer_141"/>
    <n v="27"/>
    <s v="Male"/>
    <s v="Delhi"/>
    <s v="Book"/>
    <s v="Education"/>
    <n v="4"/>
    <n v="30974.95"/>
    <n v="123899.8"/>
  </r>
  <r>
    <s v="ORD100311"/>
    <x v="146"/>
    <s v="CUST1743"/>
    <s v="Customer_222"/>
    <n v="56"/>
    <s v="Male"/>
    <s v="Hyderabad"/>
    <s v="Shoes"/>
    <s v="Fashion"/>
    <n v="4"/>
    <n v="40276.76"/>
    <n v="161107.04"/>
  </r>
  <r>
    <s v="ORD100312"/>
    <x v="86"/>
    <s v="CUST9788"/>
    <s v="Customer_229"/>
    <n v="64"/>
    <s v="Male"/>
    <s v="Hyderabad"/>
    <s v="Mobile"/>
    <s v="Electronics"/>
    <n v="8"/>
    <n v="17270.72"/>
    <n v="138165.76000000001"/>
  </r>
  <r>
    <s v="ORD100313"/>
    <x v="195"/>
    <s v="CUST2687"/>
    <s v="Customer_190"/>
    <n v="64"/>
    <s v="Female"/>
    <s v="Hyderabad"/>
    <s v="Book"/>
    <s v="Education"/>
    <n v="6"/>
    <n v="8249.36"/>
    <n v="49496.160000000003"/>
  </r>
  <r>
    <s v="ORD100314"/>
    <x v="124"/>
    <s v="CUST3094"/>
    <s v="Customer_47"/>
    <n v="49"/>
    <s v="Female"/>
    <s v="Bengaluru"/>
    <s v="Mobile"/>
    <s v="Electronics"/>
    <n v="8"/>
    <n v="42935.06"/>
    <n v="343480.48"/>
  </r>
  <r>
    <s v="ORD100315"/>
    <x v="49"/>
    <s v="CUST7059"/>
    <s v="Customer_224"/>
    <n v="51"/>
    <s v="Female"/>
    <s v="Delhi"/>
    <s v="Laptop"/>
    <s v="Electronics"/>
    <n v="8"/>
    <n v="1722.06"/>
    <n v="13776.48"/>
  </r>
  <r>
    <s v="ORD100316"/>
    <x v="37"/>
    <s v="CUST8229"/>
    <s v="Customer_161"/>
    <n v="32"/>
    <s v="Male"/>
    <s v="Pune"/>
    <s v="Mobile"/>
    <s v="Electronics"/>
    <n v="5"/>
    <n v="25857.91"/>
    <n v="129289.55"/>
  </r>
  <r>
    <s v="ORD100317"/>
    <x v="0"/>
    <s v="CUST9307"/>
    <s v="Customer_274"/>
    <n v="37"/>
    <s v="Female"/>
    <s v="Hyderabad"/>
    <s v="Book"/>
    <s v="Education"/>
    <n v="4"/>
    <n v="47319.13"/>
    <n v="189276.52"/>
  </r>
  <r>
    <s v="ORD100318"/>
    <x v="61"/>
    <s v="CUST2457"/>
    <s v="Customer_462"/>
    <n v="51"/>
    <s v="Male"/>
    <s v="Kolkata"/>
    <s v="Mobile"/>
    <s v="Electronics"/>
    <n v="2"/>
    <n v="21816.67"/>
    <n v="43633.34"/>
  </r>
  <r>
    <s v="ORD100319"/>
    <x v="49"/>
    <s v="CUST5057"/>
    <s v="Customer_158"/>
    <n v="52"/>
    <s v="Female"/>
    <s v="Patna"/>
    <s v="Shoes"/>
    <s v="Fashion"/>
    <n v="3"/>
    <n v="10075.98"/>
    <n v="30227.94"/>
  </r>
  <r>
    <s v="ORD100320"/>
    <x v="204"/>
    <s v="CUST1516"/>
    <s v="Customer_148"/>
    <n v="52"/>
    <s v="Male"/>
    <s v="Mumbai"/>
    <s v="Laptop"/>
    <s v="Electronics"/>
    <n v="9"/>
    <n v="22182.44"/>
    <n v="199641.96"/>
  </r>
  <r>
    <s v="ORD100321"/>
    <x v="182"/>
    <s v="CUST4527"/>
    <s v="Customer_359"/>
    <n v="54"/>
    <s v="Male"/>
    <s v="Mumbai"/>
    <s v="Book"/>
    <s v="Education"/>
    <n v="6"/>
    <n v="35006.300000000003"/>
    <n v="210037.8"/>
  </r>
  <r>
    <s v="ORD100322"/>
    <x v="63"/>
    <s v="CUST2650"/>
    <s v="Customer_276"/>
    <n v="56"/>
    <s v="Female"/>
    <s v="Kolkata"/>
    <s v="Chair"/>
    <s v="Furniture"/>
    <n v="10"/>
    <n v="16222.64"/>
    <n v="162226.4"/>
  </r>
  <r>
    <s v="ORD100323"/>
    <x v="128"/>
    <s v="CUST1932"/>
    <s v="Customer_369"/>
    <n v="35"/>
    <s v="Male"/>
    <s v="Delhi"/>
    <s v="Mobile"/>
    <s v="Electronics"/>
    <n v="4"/>
    <n v="1935.28"/>
    <n v="7741.12"/>
  </r>
  <r>
    <s v="ORD100324"/>
    <x v="205"/>
    <s v="CUST2094"/>
    <s v="Customer_165"/>
    <n v="54"/>
    <s v="Female"/>
    <s v="Hyderabad"/>
    <s v="Book"/>
    <s v="Education"/>
    <n v="4"/>
    <n v="28385.87"/>
    <n v="113543.48"/>
  </r>
  <r>
    <s v="ORD100325"/>
    <x v="206"/>
    <s v="CUST7196"/>
    <s v="Customer_286"/>
    <n v="40"/>
    <s v="Male"/>
    <s v="Delhi"/>
    <s v="Chair"/>
    <s v="Furniture"/>
    <n v="8"/>
    <n v="33388.11"/>
    <n v="267104.88"/>
  </r>
  <r>
    <s v="ORD100326"/>
    <x v="207"/>
    <s v="CUST2537"/>
    <s v="Customer_32"/>
    <n v="30"/>
    <s v="Female"/>
    <s v="Bengaluru"/>
    <s v="Mobile"/>
    <s v="Electronics"/>
    <n v="1"/>
    <n v="1005.21"/>
    <n v="1005.21"/>
  </r>
  <r>
    <s v="ORD100327"/>
    <x v="67"/>
    <s v="CUST9627"/>
    <s v="Customer_444"/>
    <n v="47"/>
    <s v="Male"/>
    <s v="Gaya"/>
    <s v="Rice"/>
    <s v="Grocery"/>
    <n v="5"/>
    <n v="27900.36"/>
    <n v="139501.79999999999"/>
  </r>
  <r>
    <s v="ORD100328"/>
    <x v="11"/>
    <s v="CUST3044"/>
    <s v="Customer_27"/>
    <n v="65"/>
    <s v="Female"/>
    <s v="Bengaluru"/>
    <s v="Rice"/>
    <s v="Grocery"/>
    <n v="10"/>
    <n v="31855.439999999999"/>
    <n v="318554.40000000002"/>
  </r>
  <r>
    <s v="ORD100329"/>
    <x v="208"/>
    <s v="CUST9693"/>
    <s v="Customer_343"/>
    <n v="48"/>
    <s v="Male"/>
    <s v="Patna"/>
    <s v="Book"/>
    <s v="Education"/>
    <n v="9"/>
    <n v="45988.02"/>
    <n v="413892.18"/>
  </r>
  <r>
    <s v="ORD100330"/>
    <x v="1"/>
    <s v="CUST5621"/>
    <s v="Customer_427"/>
    <n v="62"/>
    <s v="Female"/>
    <s v="Delhi"/>
    <s v="Shoes"/>
    <s v="Fashion"/>
    <n v="7"/>
    <n v="19261.810000000001"/>
    <n v="134832.67000000001"/>
  </r>
  <r>
    <s v="ORD100331"/>
    <x v="83"/>
    <s v="CUST6067"/>
    <s v="Customer_316"/>
    <n v="55"/>
    <s v="Male"/>
    <s v="Patna"/>
    <s v="Laptop"/>
    <s v="Electronics"/>
    <n v="8"/>
    <n v="22233.15"/>
    <n v="177865.2"/>
  </r>
  <r>
    <s v="ORD100332"/>
    <x v="209"/>
    <s v="CUST9465"/>
    <s v="Customer_470"/>
    <n v="44"/>
    <s v="Male"/>
    <s v="Kolkata"/>
    <s v="Shoes"/>
    <s v="Fashion"/>
    <n v="4"/>
    <n v="2247.11"/>
    <n v="8988.44"/>
  </r>
  <r>
    <s v="ORD100333"/>
    <x v="210"/>
    <s v="CUST3773"/>
    <s v="Customer_336"/>
    <n v="41"/>
    <s v="Female"/>
    <s v="Pune"/>
    <s v="Chair"/>
    <s v="Furniture"/>
    <n v="6"/>
    <n v="27965.93"/>
    <n v="167795.58"/>
  </r>
  <r>
    <s v="ORD100334"/>
    <x v="211"/>
    <s v="CUST5933"/>
    <s v="Customer_92"/>
    <n v="29"/>
    <s v="Male"/>
    <s v="Mumbai"/>
    <s v="Chair"/>
    <s v="Furniture"/>
    <n v="5"/>
    <n v="13013.63"/>
    <n v="65068.15"/>
  </r>
  <r>
    <s v="ORD100335"/>
    <x v="212"/>
    <s v="CUST8904"/>
    <s v="Customer_152"/>
    <n v="28"/>
    <s v="Female"/>
    <s v="Kolkata"/>
    <s v="Rice"/>
    <s v="Grocery"/>
    <n v="2"/>
    <n v="31943.19"/>
    <n v="63886.38"/>
  </r>
  <r>
    <s v="ORD100336"/>
    <x v="151"/>
    <s v="CUST2599"/>
    <s v="Customer_390"/>
    <n v="35"/>
    <s v="Male"/>
    <s v="Mumbai"/>
    <s v="Laptop"/>
    <s v="Electronics"/>
    <n v="5"/>
    <n v="26823.14"/>
    <n v="134115.70000000001"/>
  </r>
  <r>
    <s v="ORD100337"/>
    <x v="6"/>
    <s v="CUST5249"/>
    <s v="Customer_236"/>
    <n v="57"/>
    <s v="Male"/>
    <s v="Pune"/>
    <s v="Shoes"/>
    <s v="Fashion"/>
    <n v="10"/>
    <n v="11637.38"/>
    <n v="116373.8"/>
  </r>
  <r>
    <s v="ORD100338"/>
    <x v="171"/>
    <s v="CUST9849"/>
    <s v="Customer_264"/>
    <n v="53"/>
    <s v="Female"/>
    <s v="Delhi"/>
    <s v="Chair"/>
    <s v="Furniture"/>
    <n v="5"/>
    <n v="38518.949999999997"/>
    <n v="192594.75"/>
  </r>
  <r>
    <s v="ORD100339"/>
    <x v="197"/>
    <s v="CUST3891"/>
    <s v="Customer_453"/>
    <n v="65"/>
    <s v="Male"/>
    <s v="Mumbai"/>
    <s v="Laptop"/>
    <s v="Electronics"/>
    <n v="6"/>
    <n v="25123.86"/>
    <n v="150743.16"/>
  </r>
  <r>
    <s v="ORD100340"/>
    <x v="181"/>
    <s v="CUST8154"/>
    <s v="Customer_224"/>
    <n v="47"/>
    <s v="Female"/>
    <s v="Pune"/>
    <s v="Mobile"/>
    <s v="Electronics"/>
    <n v="9"/>
    <n v="47289.86"/>
    <n v="425608.74"/>
  </r>
  <r>
    <s v="ORD100341"/>
    <x v="88"/>
    <s v="CUST1614"/>
    <s v="Customer_267"/>
    <n v="52"/>
    <s v="Female"/>
    <s v="Bengaluru"/>
    <s v="Book"/>
    <s v="Education"/>
    <n v="4"/>
    <n v="18655.09"/>
    <n v="74620.36"/>
  </r>
  <r>
    <s v="ORD100342"/>
    <x v="213"/>
    <s v="CUST9557"/>
    <s v="Customer_475"/>
    <n v="47"/>
    <s v="Male"/>
    <s v="Mumbai"/>
    <s v="Book"/>
    <s v="Education"/>
    <n v="3"/>
    <n v="45718.65"/>
    <n v="137155.95000000001"/>
  </r>
  <r>
    <s v="ORD100343"/>
    <x v="80"/>
    <s v="CUST9253"/>
    <s v="Customer_371"/>
    <n v="50"/>
    <s v="Female"/>
    <s v="Pune"/>
    <s v="Rice"/>
    <s v="Grocery"/>
    <n v="10"/>
    <n v="21580.33"/>
    <n v="215803.3"/>
  </r>
  <r>
    <s v="ORD100344"/>
    <x v="214"/>
    <s v="CUST2794"/>
    <s v="Customer_98"/>
    <n v="31"/>
    <s v="Female"/>
    <s v="Patna"/>
    <s v="Shoes"/>
    <s v="Fashion"/>
    <n v="5"/>
    <n v="10932.32"/>
    <n v="54661.599999999999"/>
  </r>
  <r>
    <s v="ORD100345"/>
    <x v="215"/>
    <s v="CUST1463"/>
    <s v="Customer_257"/>
    <n v="56"/>
    <s v="Female"/>
    <s v="Gaya"/>
    <s v="Mobile"/>
    <s v="Electronics"/>
    <n v="6"/>
    <n v="12740.73"/>
    <n v="76444.38"/>
  </r>
  <r>
    <s v="ORD100346"/>
    <x v="172"/>
    <s v="CUST2051"/>
    <s v="Customer_103"/>
    <n v="31"/>
    <s v="Male"/>
    <s v="Bengaluru"/>
    <s v="Rice"/>
    <s v="Grocery"/>
    <n v="9"/>
    <n v="12137.54"/>
    <n v="109237.86"/>
  </r>
  <r>
    <s v="ORD100347"/>
    <x v="127"/>
    <s v="CUST1577"/>
    <s v="Customer_59"/>
    <n v="37"/>
    <s v="Male"/>
    <s v="Delhi"/>
    <s v="Shoes"/>
    <s v="Fashion"/>
    <n v="1"/>
    <n v="36943.51"/>
    <n v="36943.51"/>
  </r>
  <r>
    <s v="ORD100348"/>
    <x v="216"/>
    <s v="CUST7654"/>
    <s v="Customer_172"/>
    <n v="42"/>
    <s v="Male"/>
    <s v="Delhi"/>
    <s v="Rice"/>
    <s v="Grocery"/>
    <n v="2"/>
    <n v="33566.199999999997"/>
    <n v="67132.399999999994"/>
  </r>
  <r>
    <s v="ORD100349"/>
    <x v="100"/>
    <s v="CUST9304"/>
    <s v="Customer_216"/>
    <n v="38"/>
    <s v="Female"/>
    <s v="Bengaluru"/>
    <s v="Shoes"/>
    <s v="Fashion"/>
    <n v="2"/>
    <n v="32332.27"/>
    <n v="64664.54"/>
  </r>
  <r>
    <s v="ORD100350"/>
    <x v="99"/>
    <s v="CUST9709"/>
    <s v="Customer_409"/>
    <m/>
    <s v="Male"/>
    <s v="Pune"/>
    <s v="Laptop"/>
    <s v="Electronics"/>
    <n v="8"/>
    <n v="47254.7"/>
    <n v="378037.6"/>
  </r>
  <r>
    <s v="ORD100351"/>
    <x v="217"/>
    <s v="CUST6828"/>
    <s v="Customer_222"/>
    <n v="50"/>
    <s v="Male"/>
    <s v="Bengaluru"/>
    <s v="Chair"/>
    <s v="Furniture"/>
    <n v="3"/>
    <n v="42538.14"/>
    <n v="127614.42"/>
  </r>
  <r>
    <s v="ORD100352"/>
    <x v="151"/>
    <s v="CUST1170"/>
    <s v="Customer_67"/>
    <n v="37"/>
    <s v="Male"/>
    <s v="Mumbai"/>
    <s v="Mobile"/>
    <s v="Electronics"/>
    <n v="4"/>
    <n v="25840.34"/>
    <n v="103361.36"/>
  </r>
  <r>
    <s v="ORD100353"/>
    <x v="88"/>
    <s v="CUST3075"/>
    <s v="Customer_249"/>
    <n v="55"/>
    <s v="Male"/>
    <s v="Bengaluru"/>
    <s v="Laptop"/>
    <s v="Electronics"/>
    <n v="1"/>
    <n v="8162.84"/>
    <n v="8162.84"/>
  </r>
  <r>
    <s v="ORD100354"/>
    <x v="55"/>
    <s v="CUST7104"/>
    <s v="Customer_498"/>
    <n v="34"/>
    <s v="Male"/>
    <s v="Mumbai"/>
    <s v="Chair"/>
    <s v="Furniture"/>
    <n v="5"/>
    <n v="49012.25"/>
    <n v="245061.25"/>
  </r>
  <r>
    <s v="ORD100355"/>
    <x v="35"/>
    <s v="CUST3265"/>
    <s v="Customer_256"/>
    <n v="29"/>
    <s v="Male"/>
    <s v="Gaya"/>
    <s v="Rice"/>
    <s v="Grocery"/>
    <n v="5"/>
    <n v="19538.669999999998"/>
    <n v="97693.35"/>
  </r>
  <r>
    <s v="ORD100356"/>
    <x v="177"/>
    <s v="CUST4601"/>
    <s v="Customer_82"/>
    <n v="55"/>
    <s v="Female"/>
    <s v="Hyderabad"/>
    <s v="Book"/>
    <s v="Education"/>
    <n v="1"/>
    <n v="5053.68"/>
    <n v="5053.68"/>
  </r>
  <r>
    <s v="ORD100357"/>
    <x v="57"/>
    <s v="CUST5743"/>
    <s v="Customer_248"/>
    <n v="28"/>
    <s v="Male"/>
    <s v="Gaya"/>
    <s v="Laptop"/>
    <s v="Electronics"/>
    <n v="6"/>
    <n v="14400.18"/>
    <n v="86401.08"/>
  </r>
  <r>
    <s v="ORD100358"/>
    <x v="218"/>
    <s v="CUST8871"/>
    <s v="Customer_345"/>
    <n v="43"/>
    <s v="Female"/>
    <s v="Kolkata"/>
    <s v="Chair"/>
    <s v="Furniture"/>
    <n v="4"/>
    <n v="28464.26"/>
    <n v="113857.04"/>
  </r>
  <r>
    <s v="ORD100359"/>
    <x v="136"/>
    <s v="CUST3763"/>
    <s v="Customer_221"/>
    <n v="32"/>
    <s v="Female"/>
    <s v="Delhi"/>
    <s v="Shoes"/>
    <s v="Fashion"/>
    <n v="5"/>
    <n v="40682.5"/>
    <n v="203412.5"/>
  </r>
  <r>
    <s v="ORD100050"/>
    <x v="219"/>
    <s v="CUST6467"/>
    <s v="Customer_181"/>
    <n v="24"/>
    <s v="Female"/>
    <s v="Pune"/>
    <s v="Rice"/>
    <s v="Grocery"/>
    <n v="7"/>
    <n v="45480.39"/>
    <n v="318362.73"/>
  </r>
  <r>
    <s v="ORD100361"/>
    <x v="42"/>
    <s v="CUST7309"/>
    <s v="Customer_266"/>
    <n v="52"/>
    <s v="Female"/>
    <s v="Delhi"/>
    <s v="Book"/>
    <s v="Education"/>
    <n v="6"/>
    <n v="42742.96"/>
    <n v="256457.76"/>
  </r>
  <r>
    <s v="ORD100362"/>
    <x v="220"/>
    <s v="CUST3281"/>
    <s v="Customer_243"/>
    <n v="64"/>
    <s v="Female"/>
    <s v="Pune"/>
    <s v="Laptop"/>
    <s v="Electronics"/>
    <n v="10"/>
    <n v="19010.689999999999"/>
    <n v="190106.9"/>
  </r>
  <r>
    <s v="ORD100363"/>
    <x v="221"/>
    <s v="CUST9724"/>
    <s v="Customer_220"/>
    <n v="35"/>
    <s v="Male"/>
    <s v="Pune"/>
    <s v="Laptop"/>
    <s v="Electronics"/>
    <n v="5"/>
    <n v="31244.32"/>
    <n v="156221.6"/>
  </r>
  <r>
    <s v="ORD100364"/>
    <x v="51"/>
    <s v="CUST5468"/>
    <s v="Customer_463"/>
    <n v="32"/>
    <s v="Male"/>
    <s v="Bengaluru"/>
    <s v="Laptop"/>
    <s v="Electronics"/>
    <n v="7"/>
    <n v="42733.08"/>
    <n v="299131.56"/>
  </r>
  <r>
    <s v="ORD100365"/>
    <x v="68"/>
    <s v="CUST7621"/>
    <s v="Customer_375"/>
    <n v="61"/>
    <s v="Female"/>
    <s v="Gaya"/>
    <s v="Shoes"/>
    <s v="Fashion"/>
    <n v="1"/>
    <n v="44751.42"/>
    <n v="44751.42"/>
  </r>
  <r>
    <s v="ORD100366"/>
    <x v="222"/>
    <s v="CUST9551"/>
    <s v="Customer_230"/>
    <n v="18"/>
    <s v="Male"/>
    <s v="Bengaluru"/>
    <s v="Mobile"/>
    <s v="Electronics"/>
    <n v="10"/>
    <n v="47493.59"/>
    <n v="474935.9"/>
  </r>
  <r>
    <s v="ORD100367"/>
    <x v="223"/>
    <s v="CUST3023"/>
    <s v="Customer_223"/>
    <n v="43"/>
    <s v="Female"/>
    <s v="Gaya"/>
    <s v="Shoes"/>
    <s v="Fashion"/>
    <n v="8"/>
    <n v="46122.45"/>
    <n v="368979.6"/>
  </r>
  <r>
    <s v="ORD100368"/>
    <x v="224"/>
    <s v="CUST5318"/>
    <s v="Customer_376"/>
    <n v="61"/>
    <s v="Male"/>
    <s v="Bengaluru"/>
    <s v="Shoes"/>
    <s v="Fashion"/>
    <n v="3"/>
    <n v="31028.12"/>
    <n v="93084.36"/>
  </r>
  <r>
    <s v="ORD100369"/>
    <x v="225"/>
    <s v="CUST9900"/>
    <s v="Customer_496"/>
    <n v="26"/>
    <s v="Male"/>
    <s v="Bengaluru"/>
    <s v="Shoes"/>
    <s v="Fashion"/>
    <n v="2"/>
    <n v="48986.48"/>
    <n v="97972.96"/>
  </r>
  <r>
    <s v="ORD100370"/>
    <x v="136"/>
    <s v="CUST6142"/>
    <s v="Customer_410"/>
    <n v="37"/>
    <s v="Male"/>
    <s v="Patna"/>
    <s v="Mobile"/>
    <s v="Electronics"/>
    <n v="10"/>
    <n v="12839.38"/>
    <n v="128393.8"/>
  </r>
  <r>
    <s v="ORD100371"/>
    <x v="226"/>
    <s v="CUST8318"/>
    <s v="Customer_189"/>
    <n v="29"/>
    <s v="Female"/>
    <s v="Kolkata"/>
    <s v="Mobile"/>
    <s v="Electronics"/>
    <n v="1"/>
    <n v="6050.27"/>
    <n v="6050.27"/>
  </r>
  <r>
    <s v="ORD100372"/>
    <x v="227"/>
    <s v="CUST9485"/>
    <s v="Customer_43"/>
    <n v="57"/>
    <s v="Male"/>
    <s v="Mumbai"/>
    <s v="Mobile"/>
    <s v="Electronics"/>
    <n v="2"/>
    <n v="42518.8"/>
    <n v="85037.6"/>
  </r>
  <r>
    <s v="ORD100373"/>
    <x v="140"/>
    <s v="CUST9022"/>
    <s v="Customer_131"/>
    <n v="49"/>
    <s v="Female"/>
    <s v="Mumbai"/>
    <s v="Rice"/>
    <s v="Grocery"/>
    <n v="4"/>
    <n v="22806.21"/>
    <n v="91224.84"/>
  </r>
  <r>
    <s v="ORD100374"/>
    <x v="228"/>
    <s v="CUST4041"/>
    <s v="Customer_433"/>
    <n v="32"/>
    <s v="Female"/>
    <s v="Bengaluru"/>
    <s v="Laptop"/>
    <s v="Electronics"/>
    <n v="4"/>
    <n v="39453.46"/>
    <n v="157813.84"/>
  </r>
  <r>
    <s v="ORD100375"/>
    <x v="11"/>
    <s v="CUST5835"/>
    <s v="Customer_362"/>
    <n v="20"/>
    <s v="Male"/>
    <m/>
    <s v="Laptop"/>
    <s v="Electronics"/>
    <n v="2"/>
    <n v="28311.58"/>
    <n v="56623.16"/>
  </r>
  <r>
    <s v="ORD100376"/>
    <x v="229"/>
    <s v="CUST9776"/>
    <s v="Customer_345"/>
    <n v="54"/>
    <s v="Female"/>
    <s v="Delhi"/>
    <s v="Rice"/>
    <s v="Grocery"/>
    <n v="3"/>
    <n v="11513.96"/>
    <n v="34541.879999999997"/>
  </r>
  <r>
    <s v="ORD100377"/>
    <x v="45"/>
    <s v="CUST9292"/>
    <s v="Customer_89"/>
    <n v="33"/>
    <s v="Male"/>
    <s v="Bengaluru"/>
    <s v="Shoes"/>
    <s v="Fashion"/>
    <n v="8"/>
    <n v="16079.7"/>
    <n v="128637.6"/>
  </r>
  <r>
    <s v="ORD100378"/>
    <x v="230"/>
    <s v="CUST3607"/>
    <s v="Customer_266"/>
    <n v="64"/>
    <s v="Female"/>
    <s v="Patna"/>
    <s v="Book"/>
    <s v="Education"/>
    <n v="5"/>
    <n v="21152.92"/>
    <n v="105764.6"/>
  </r>
  <r>
    <s v="ORD100379"/>
    <x v="83"/>
    <s v="CUST1032"/>
    <s v="Customer_20"/>
    <n v="22"/>
    <s v="Female"/>
    <s v="Pune"/>
    <s v="Mobile"/>
    <s v="Electronics"/>
    <n v="7"/>
    <n v="20998.7"/>
    <n v="146990.9"/>
  </r>
  <r>
    <s v="ORD100380"/>
    <x v="114"/>
    <s v="CUST6531"/>
    <s v="Customer_218"/>
    <n v="57"/>
    <s v="Male"/>
    <s v="Kolkata"/>
    <s v="Rice"/>
    <s v="Grocery"/>
    <n v="6"/>
    <n v="13054.61"/>
    <n v="78327.66"/>
  </r>
  <r>
    <s v="ORD100381"/>
    <x v="138"/>
    <s v="CUST4482"/>
    <s v="Customer_139"/>
    <n v="53"/>
    <s v="Male"/>
    <s v="Pune"/>
    <s v="Mobile"/>
    <s v="Electronics"/>
    <n v="9"/>
    <n v="46780.58"/>
    <n v="421025.22"/>
  </r>
  <r>
    <s v="ORD100382"/>
    <x v="212"/>
    <s v="CUST4655"/>
    <s v="Customer_167"/>
    <n v="35"/>
    <s v="Male"/>
    <s v="Kolkata"/>
    <s v="Shoes"/>
    <s v="Fashion"/>
    <n v="7"/>
    <n v="34258.83"/>
    <n v="239811.81"/>
  </r>
  <r>
    <s v="ORD100383"/>
    <x v="65"/>
    <s v="CUST3365"/>
    <s v="Customer_80"/>
    <n v="23"/>
    <s v="Male"/>
    <s v="Delhi"/>
    <s v="Mobile"/>
    <s v="Electronics"/>
    <n v="7"/>
    <n v="17055.84"/>
    <n v="119390.88"/>
  </r>
  <r>
    <s v="ORD100384"/>
    <x v="95"/>
    <s v="CUST1481"/>
    <s v="Customer_40"/>
    <n v="40"/>
    <s v="Female"/>
    <s v="Patna"/>
    <s v="Chair"/>
    <s v="Furniture"/>
    <n v="10"/>
    <n v="7876.48"/>
    <n v="78764.800000000003"/>
  </r>
  <r>
    <s v="ORD100385"/>
    <x v="231"/>
    <s v="CUST2242"/>
    <s v="Customer_331"/>
    <n v="53"/>
    <s v="Female"/>
    <s v="Delhi"/>
    <s v="Mobile"/>
    <s v="Electronics"/>
    <n v="10"/>
    <n v="34976.79"/>
    <n v="349767.9"/>
  </r>
  <r>
    <s v="ORD100386"/>
    <x v="117"/>
    <s v="CUST8164"/>
    <s v="Customer_156"/>
    <n v="34"/>
    <s v="Female"/>
    <s v="Delhi"/>
    <s v="Chair"/>
    <s v="Furniture"/>
    <n v="8"/>
    <n v="38672.339999999997"/>
    <n v="309378.71999999997"/>
  </r>
  <r>
    <s v="ORD100387"/>
    <x v="232"/>
    <s v="CUST9469"/>
    <s v="Customer_426"/>
    <n v="18"/>
    <s v="Female"/>
    <s v="Kolkata"/>
    <s v="Shoes"/>
    <s v="Fashion"/>
    <n v="1"/>
    <n v="48695.59"/>
    <n v="48695.59"/>
  </r>
  <r>
    <s v="ORD100388"/>
    <x v="20"/>
    <s v="CUST3129"/>
    <s v="Customer_138"/>
    <n v="39"/>
    <s v="Male"/>
    <s v="Hyderabad"/>
    <s v="Book"/>
    <s v="Education"/>
    <n v="9"/>
    <n v="41871.43"/>
    <n v="376842.87"/>
  </r>
  <r>
    <s v="ORD100389"/>
    <x v="14"/>
    <s v="CUST6180"/>
    <s v="Customer_73"/>
    <n v="64"/>
    <s v="Male"/>
    <s v="Patna"/>
    <s v="Mobile"/>
    <s v="Electronics"/>
    <n v="6"/>
    <n v="26179.81"/>
    <n v="157078.85999999999"/>
  </r>
  <r>
    <s v="ORD100390"/>
    <x v="157"/>
    <s v="CUST2671"/>
    <s v="Customer_58"/>
    <n v="52"/>
    <s v="Male"/>
    <s v="Delhi"/>
    <s v="Shoes"/>
    <s v="Fashion"/>
    <n v="1"/>
    <n v="23398.57"/>
    <n v="23398.57"/>
  </r>
  <r>
    <s v="ORD100391"/>
    <x v="67"/>
    <s v="CUST6111"/>
    <s v="Customer_388"/>
    <n v="20"/>
    <s v="Male"/>
    <s v="Kolkata"/>
    <s v="Laptop"/>
    <s v="Electronics"/>
    <n v="5"/>
    <n v="24596.560000000001"/>
    <n v="122982.8"/>
  </r>
  <r>
    <s v="ORD100392"/>
    <x v="218"/>
    <s v="CUST9927"/>
    <s v="Customer_357"/>
    <n v="37"/>
    <s v="Female"/>
    <s v="Bengaluru"/>
    <s v="Shoes"/>
    <s v="Fashion"/>
    <n v="1"/>
    <n v="35804.49"/>
    <n v="35804.49"/>
  </r>
  <r>
    <s v="ORD100393"/>
    <x v="48"/>
    <s v="CUST3393"/>
    <s v="Customer_175"/>
    <n v="24"/>
    <s v="Female"/>
    <s v="Hyderabad"/>
    <s v="Mobile"/>
    <s v="Electronics"/>
    <n v="3"/>
    <n v="36239.15"/>
    <n v="108717.45"/>
  </r>
  <r>
    <s v="ORD100394"/>
    <x v="233"/>
    <s v="CUST5569"/>
    <s v="Customer_188"/>
    <n v="27"/>
    <s v="Female"/>
    <s v="Pune"/>
    <s v="Shoes"/>
    <s v="Fashion"/>
    <n v="5"/>
    <n v="21143.07"/>
    <n v="105715.35"/>
  </r>
  <r>
    <s v="ORD100395"/>
    <x v="120"/>
    <s v="CUST5128"/>
    <s v="Customer_192"/>
    <n v="47"/>
    <s v="Male"/>
    <s v="Bengaluru"/>
    <s v="Rice"/>
    <s v="Grocery"/>
    <n v="8"/>
    <n v="30277.06"/>
    <n v="242216.48"/>
  </r>
  <r>
    <s v="ORD100396"/>
    <x v="93"/>
    <s v="CUST8053"/>
    <s v="Customer_159"/>
    <n v="53"/>
    <s v="Female"/>
    <s v="Mumbai"/>
    <s v="Laptop"/>
    <s v="Electronics"/>
    <n v="4"/>
    <n v="41264.559999999998"/>
    <n v="165058.23999999999"/>
  </r>
  <r>
    <s v="ORD100397"/>
    <x v="169"/>
    <s v="CUST3345"/>
    <s v="Customer_202"/>
    <n v="35"/>
    <s v="Female"/>
    <s v="Gaya"/>
    <s v="Book"/>
    <s v="Education"/>
    <n v="5"/>
    <n v="11761.9"/>
    <n v="58809.5"/>
  </r>
  <r>
    <s v="ORD100398"/>
    <x v="36"/>
    <s v="CUST6600"/>
    <s v="Customer_242"/>
    <n v="58"/>
    <s v="Female"/>
    <s v="Bengaluru"/>
    <s v="Mobile"/>
    <s v="Electronics"/>
    <n v="9"/>
    <n v="48807.37"/>
    <n v="439266.33"/>
  </r>
  <r>
    <s v="ORD100399"/>
    <x v="234"/>
    <s v="CUST5615"/>
    <s v="Customer_56"/>
    <n v="63"/>
    <s v="Female"/>
    <s v="Bengaluru"/>
    <s v="Rice"/>
    <s v="Grocery"/>
    <n v="4"/>
    <n v="1895.99"/>
    <n v="7583.96"/>
  </r>
  <r>
    <s v="ORD100400"/>
    <x v="39"/>
    <s v="CUST5102"/>
    <s v="Customer_416"/>
    <m/>
    <s v="Female"/>
    <s v="Hyderabad"/>
    <s v="Book"/>
    <s v="Education"/>
    <n v="3"/>
    <n v="26269.62"/>
    <n v="78808.86"/>
  </r>
  <r>
    <s v="ORD100401"/>
    <x v="159"/>
    <s v="CUST6037"/>
    <s v="Customer_121"/>
    <n v="28"/>
    <s v="Male"/>
    <s v="Patna"/>
    <s v="Mobile"/>
    <s v="Electronics"/>
    <n v="2"/>
    <n v="1793.29"/>
    <n v="3586.58"/>
  </r>
  <r>
    <s v="ORD100402"/>
    <x v="154"/>
    <s v="CUST2137"/>
    <s v="Customer_57"/>
    <n v="40"/>
    <s v="Female"/>
    <s v="Mumbai"/>
    <s v="Shoes"/>
    <s v="Fashion"/>
    <n v="5"/>
    <n v="18223.060000000001"/>
    <n v="91115.3"/>
  </r>
  <r>
    <s v="ORD100403"/>
    <x v="235"/>
    <s v="CUST4625"/>
    <s v="Customer_296"/>
    <n v="25"/>
    <s v="Female"/>
    <s v="Gaya"/>
    <s v="Book"/>
    <s v="Education"/>
    <n v="7"/>
    <n v="43850.91"/>
    <n v="306956.37"/>
  </r>
  <r>
    <s v="ORD100404"/>
    <x v="161"/>
    <s v="CUST4414"/>
    <s v="Customer_194"/>
    <n v="53"/>
    <s v="Female"/>
    <s v="Delhi"/>
    <s v="Book"/>
    <s v="Education"/>
    <n v="1"/>
    <n v="15617.29"/>
    <n v="15617.29"/>
  </r>
  <r>
    <s v="ORD100405"/>
    <x v="154"/>
    <s v="CUST5778"/>
    <s v="Customer_346"/>
    <n v="37"/>
    <s v="Male"/>
    <s v="Patna"/>
    <s v="Shoes"/>
    <s v="Fashion"/>
    <n v="2"/>
    <n v="36062.36"/>
    <n v="72124.72"/>
  </r>
  <r>
    <s v="ORD100406"/>
    <x v="111"/>
    <s v="CUST1528"/>
    <s v="Customer_170"/>
    <n v="46"/>
    <s v="Male"/>
    <s v="Patna"/>
    <s v="Mobile"/>
    <s v="Electronics"/>
    <n v="2"/>
    <n v="24194.959999999999"/>
    <n v="48389.919999999998"/>
  </r>
  <r>
    <s v="ORD100407"/>
    <x v="236"/>
    <s v="CUST5430"/>
    <s v="Customer_333"/>
    <n v="48"/>
    <s v="Male"/>
    <s v="Mumbai"/>
    <s v="Shoes"/>
    <s v="Fashion"/>
    <n v="3"/>
    <n v="46253.94"/>
    <n v="138761.82"/>
  </r>
  <r>
    <s v="ORD100408"/>
    <x v="229"/>
    <s v="CUST8759"/>
    <s v="Customer_20"/>
    <n v="64"/>
    <s v="Female"/>
    <s v="Hyderabad"/>
    <s v="Chair"/>
    <s v="Furniture"/>
    <n v="1"/>
    <n v="22534.47"/>
    <n v="22534.47"/>
  </r>
  <r>
    <s v="ORD100409"/>
    <x v="173"/>
    <s v="CUST9421"/>
    <s v="Customer_355"/>
    <n v="64"/>
    <s v="Female"/>
    <s v="Bengaluru"/>
    <s v="Shoes"/>
    <s v="Fashion"/>
    <n v="5"/>
    <n v="23003.279999999999"/>
    <n v="115016.4"/>
  </r>
  <r>
    <s v="ORD100410"/>
    <x v="50"/>
    <s v="CUST3440"/>
    <s v="Customer_28"/>
    <n v="32"/>
    <s v="Female"/>
    <s v="Pune"/>
    <s v="Laptop"/>
    <s v="Electronics"/>
    <n v="5"/>
    <n v="6619.66"/>
    <n v="33098.300000000003"/>
  </r>
  <r>
    <s v="ORD100411"/>
    <x v="99"/>
    <s v="CUST6631"/>
    <s v="Customer_141"/>
    <n v="58"/>
    <s v="Male"/>
    <s v="Kolkata"/>
    <s v="Book"/>
    <s v="Education"/>
    <n v="4"/>
    <n v="7231.17"/>
    <n v="28924.68"/>
  </r>
  <r>
    <s v="ORD100412"/>
    <x v="153"/>
    <s v="CUST9089"/>
    <s v="Customer_177"/>
    <n v="24"/>
    <s v="Male"/>
    <s v="Patna"/>
    <s v="Book"/>
    <s v="Education"/>
    <n v="10"/>
    <n v="14441.39"/>
    <n v="144413.9"/>
  </r>
  <r>
    <s v="ORD100413"/>
    <x v="237"/>
    <s v="CUST4703"/>
    <s v="Customer_394"/>
    <n v="58"/>
    <s v="Male"/>
    <s v="Patna"/>
    <s v="Laptop"/>
    <s v="Electronics"/>
    <n v="4"/>
    <n v="39636.15"/>
    <n v="158544.6"/>
  </r>
  <r>
    <s v="ORD100414"/>
    <x v="156"/>
    <s v="CUST4598"/>
    <s v="Customer_96"/>
    <n v="33"/>
    <s v="Female"/>
    <s v="Patna"/>
    <s v="Shoes"/>
    <s v="Fashion"/>
    <n v="10"/>
    <n v="6633.6"/>
    <n v="66336"/>
  </r>
  <r>
    <s v="ORD100415"/>
    <x v="238"/>
    <s v="CUST3277"/>
    <s v="Customer_148"/>
    <n v="46"/>
    <s v="Female"/>
    <s v="Gaya"/>
    <s v="Mobile"/>
    <s v="Electronics"/>
    <n v="6"/>
    <n v="31722.52"/>
    <n v="190335.12"/>
  </r>
  <r>
    <s v="ORD100416"/>
    <x v="117"/>
    <s v="CUST5932"/>
    <s v="Customer_183"/>
    <n v="62"/>
    <s v="Female"/>
    <s v="Gaya"/>
    <s v="Rice"/>
    <s v="Grocery"/>
    <n v="3"/>
    <n v="24990.09"/>
    <n v="74970.27"/>
  </r>
  <r>
    <s v="ORD100417"/>
    <x v="108"/>
    <s v="CUST7628"/>
    <s v="Customer_120"/>
    <n v="56"/>
    <s v="Male"/>
    <s v="Bengaluru"/>
    <s v="Chair"/>
    <s v="Furniture"/>
    <n v="6"/>
    <n v="26716.59"/>
    <n v="160299.54"/>
  </r>
  <r>
    <s v="ORD100418"/>
    <x v="140"/>
    <s v="CUST9942"/>
    <s v="Customer_466"/>
    <n v="29"/>
    <s v="Female"/>
    <s v="Kolkata"/>
    <s v="Mobile"/>
    <s v="Electronics"/>
    <n v="8"/>
    <n v="28813.93"/>
    <n v="230511.44"/>
  </r>
  <r>
    <s v="ORD100419"/>
    <x v="72"/>
    <s v="CUST6436"/>
    <s v="Customer_288"/>
    <n v="52"/>
    <s v="Male"/>
    <s v="Bengaluru"/>
    <s v="Shoes"/>
    <s v="Fashion"/>
    <n v="2"/>
    <n v="2209.4299999999998"/>
    <n v="4418.8599999999997"/>
  </r>
  <r>
    <s v="ORD100420"/>
    <x v="239"/>
    <s v="CUST2231"/>
    <s v="Customer_38"/>
    <n v="51"/>
    <s v="Male"/>
    <s v="Delhi"/>
    <s v="Mobile"/>
    <s v="Electronics"/>
    <n v="2"/>
    <n v="572.39"/>
    <n v="1144.78"/>
  </r>
  <r>
    <s v="ORD100421"/>
    <x v="20"/>
    <s v="CUST2956"/>
    <s v="Customer_177"/>
    <n v="39"/>
    <s v="Male"/>
    <s v="Patna"/>
    <s v="Chair"/>
    <s v="Furniture"/>
    <n v="5"/>
    <n v="26522.29"/>
    <n v="132611.45000000001"/>
  </r>
  <r>
    <s v="ORD100422"/>
    <x v="152"/>
    <s v="CUST1764"/>
    <s v="Customer_47"/>
    <n v="24"/>
    <s v="Male"/>
    <s v="Hyderabad"/>
    <s v="Laptop"/>
    <s v="Electronics"/>
    <n v="2"/>
    <n v="25875.53"/>
    <n v="51751.06"/>
  </r>
  <r>
    <s v="ORD100423"/>
    <x v="240"/>
    <s v="CUST9649"/>
    <s v="Customer_322"/>
    <n v="58"/>
    <s v="Male"/>
    <s v="Gaya"/>
    <s v="Mobile"/>
    <s v="Electronics"/>
    <n v="9"/>
    <n v="37176.15"/>
    <n v="334585.34999999998"/>
  </r>
  <r>
    <s v="ORD100424"/>
    <x v="46"/>
    <s v="CUST6655"/>
    <s v="Customer_192"/>
    <n v="31"/>
    <s v="Female"/>
    <s v="Pune"/>
    <s v="Laptop"/>
    <s v="Electronics"/>
    <n v="10"/>
    <n v="315.67"/>
    <n v="3156.7"/>
  </r>
  <r>
    <s v="ORD100425"/>
    <x v="229"/>
    <s v="CUST4284"/>
    <s v="Customer_270"/>
    <n v="46"/>
    <s v="Male"/>
    <s v="Patna"/>
    <s v="Mobile"/>
    <s v="Electronics"/>
    <n v="1"/>
    <n v="30640.69"/>
    <n v="30640.69"/>
  </r>
  <r>
    <s v="ORD100426"/>
    <x v="141"/>
    <s v="CUST4269"/>
    <s v="Customer_268"/>
    <n v="65"/>
    <s v="Female"/>
    <s v="Gaya"/>
    <s v="Laptop"/>
    <s v="Electronics"/>
    <n v="8"/>
    <n v="23432.880000000001"/>
    <n v="187463.04000000001"/>
  </r>
  <r>
    <s v="ORD100427"/>
    <x v="38"/>
    <s v="CUST1253"/>
    <s v="Customer_334"/>
    <n v="32"/>
    <s v="Female"/>
    <s v="Gaya"/>
    <s v="Laptop"/>
    <s v="Electronics"/>
    <n v="3"/>
    <n v="29297.53"/>
    <n v="87892.59"/>
  </r>
  <r>
    <s v="ORD100428"/>
    <x v="241"/>
    <s v="CUST9754"/>
    <s v="Customer_304"/>
    <n v="19"/>
    <s v="Male"/>
    <s v="Delhi"/>
    <s v="Chair"/>
    <s v="Furniture"/>
    <n v="6"/>
    <n v="33928.269999999997"/>
    <n v="203569.62"/>
  </r>
  <r>
    <s v="ORD100429"/>
    <x v="242"/>
    <s v="CUST2697"/>
    <s v="Customer_155"/>
    <n v="49"/>
    <s v="Male"/>
    <s v="Hyderabad"/>
    <s v="Book"/>
    <s v="Education"/>
    <n v="6"/>
    <n v="13857.45"/>
    <n v="83144.7"/>
  </r>
  <r>
    <s v="ORD100430"/>
    <x v="76"/>
    <s v="CUST9209"/>
    <s v="Customer_233"/>
    <n v="21"/>
    <s v="Female"/>
    <s v="Mumbai"/>
    <s v="Laptop"/>
    <s v="Electronics"/>
    <n v="9"/>
    <n v="29804.26"/>
    <n v="268238.34000000003"/>
  </r>
  <r>
    <s v="ORD100431"/>
    <x v="243"/>
    <s v="CUST4215"/>
    <s v="Customer_103"/>
    <n v="28"/>
    <s v="Male"/>
    <s v="Delhi"/>
    <s v="Shoes"/>
    <s v="Fashion"/>
    <n v="9"/>
    <n v="12279.11"/>
    <n v="110511.99"/>
  </r>
  <r>
    <s v="ORD100432"/>
    <x v="167"/>
    <s v="CUST2935"/>
    <s v="Customer_26"/>
    <n v="28"/>
    <s v="Male"/>
    <s v="Delhi"/>
    <s v="Mobile"/>
    <s v="Electronics"/>
    <n v="6"/>
    <n v="5060.75"/>
    <n v="30364.5"/>
  </r>
  <r>
    <s v="ORD100433"/>
    <x v="43"/>
    <s v="CUST9381"/>
    <s v="Customer_352"/>
    <n v="45"/>
    <s v="Male"/>
    <s v="Kolkata"/>
    <s v="Laptop"/>
    <s v="Electronics"/>
    <n v="2"/>
    <n v="42427.93"/>
    <n v="84855.86"/>
  </r>
  <r>
    <s v="ORD100434"/>
    <x v="244"/>
    <s v="CUST4982"/>
    <s v="Customer_370"/>
    <n v="33"/>
    <s v="Male"/>
    <s v="Delhi"/>
    <s v="Mobile"/>
    <s v="Electronics"/>
    <n v="10"/>
    <n v="43997.22"/>
    <n v="439972.2"/>
  </r>
  <r>
    <s v="ORD100435"/>
    <x v="245"/>
    <s v="CUST4849"/>
    <s v="Customer_209"/>
    <n v="28"/>
    <s v="Male"/>
    <s v="Patna"/>
    <s v="Rice"/>
    <s v="Grocery"/>
    <n v="1"/>
    <n v="28812.06"/>
    <n v="28812.06"/>
  </r>
  <r>
    <s v="ORD100436"/>
    <x v="246"/>
    <s v="CUST3418"/>
    <s v="Customer_499"/>
    <n v="33"/>
    <s v="Female"/>
    <s v="Gaya"/>
    <s v="Mobile"/>
    <s v="Electronics"/>
    <n v="1"/>
    <n v="1229.02"/>
    <n v="1229.02"/>
  </r>
  <r>
    <s v="ORD100437"/>
    <x v="25"/>
    <s v="CUST3459"/>
    <s v="Customer_320"/>
    <n v="19"/>
    <s v="Male"/>
    <s v="Pune"/>
    <s v="Mobile"/>
    <s v="Electronics"/>
    <n v="3"/>
    <n v="29528.77"/>
    <n v="88586.31"/>
  </r>
  <r>
    <s v="ORD100438"/>
    <x v="107"/>
    <s v="CUST7937"/>
    <s v="Customer_158"/>
    <n v="43"/>
    <s v="Female"/>
    <s v="Mumbai"/>
    <s v="Chair"/>
    <s v="Furniture"/>
    <n v="9"/>
    <n v="24864.11"/>
    <n v="223776.99"/>
  </r>
  <r>
    <s v="ORD100439"/>
    <x v="247"/>
    <s v="CUST8269"/>
    <s v="Customer_104"/>
    <n v="34"/>
    <s v="Female"/>
    <s v="Bengaluru"/>
    <s v="Book"/>
    <s v="Education"/>
    <n v="8"/>
    <n v="11693.63"/>
    <n v="93549.04"/>
  </r>
  <r>
    <s v="ORD100440"/>
    <x v="248"/>
    <s v="CUST9209"/>
    <s v="Customer_173"/>
    <n v="49"/>
    <s v="Female"/>
    <s v="Gaya"/>
    <s v="Shoes"/>
    <s v="Fashion"/>
    <n v="2"/>
    <n v="5988.17"/>
    <n v="11976.34"/>
  </r>
  <r>
    <s v="ORD100441"/>
    <x v="87"/>
    <s v="CUST9619"/>
    <s v="Customer_491"/>
    <n v="30"/>
    <s v="Male"/>
    <s v="Pune"/>
    <s v="Mobile"/>
    <s v="Electronics"/>
    <n v="1"/>
    <n v="3839.04"/>
    <n v="3839.04"/>
  </r>
  <r>
    <s v="ORD100442"/>
    <x v="14"/>
    <s v="CUST6887"/>
    <s v="Customer_423"/>
    <n v="21"/>
    <s v="Male"/>
    <s v="Delhi"/>
    <s v="Chair"/>
    <s v="Furniture"/>
    <n v="5"/>
    <n v="3146.73"/>
    <n v="15733.65"/>
  </r>
  <r>
    <s v="ORD100443"/>
    <x v="17"/>
    <s v="CUST8515"/>
    <s v="Customer_445"/>
    <n v="22"/>
    <s v="Male"/>
    <s v="Mumbai"/>
    <s v="Chair"/>
    <s v="Furniture"/>
    <n v="7"/>
    <n v="33771.26"/>
    <n v="236398.82"/>
  </r>
  <r>
    <s v="ORD100444"/>
    <x v="220"/>
    <s v="CUST9942"/>
    <s v="Customer_227"/>
    <n v="47"/>
    <s v="Male"/>
    <s v="Delhi"/>
    <s v="Mobile"/>
    <s v="Electronics"/>
    <n v="3"/>
    <n v="28342.81"/>
    <n v="85028.43"/>
  </r>
  <r>
    <s v="ORD100445"/>
    <x v="249"/>
    <s v="CUST1256"/>
    <s v="Customer_279"/>
    <n v="34"/>
    <s v="Male"/>
    <s v="Kolkata"/>
    <s v="Mobile"/>
    <s v="Electronics"/>
    <n v="5"/>
    <n v="48457.94"/>
    <n v="242289.7"/>
  </r>
  <r>
    <s v="ORD100446"/>
    <x v="168"/>
    <s v="CUST1841"/>
    <s v="Customer_129"/>
    <n v="45"/>
    <s v="Male"/>
    <s v="Kolkata"/>
    <s v="Book"/>
    <s v="Education"/>
    <n v="2"/>
    <n v="41096.75"/>
    <n v="82193.5"/>
  </r>
  <r>
    <s v="ORD100447"/>
    <x v="229"/>
    <s v="CUST2777"/>
    <s v="Customer_417"/>
    <n v="49"/>
    <s v="Male"/>
    <s v="Gaya"/>
    <s v="Mobile"/>
    <s v="Electronics"/>
    <n v="9"/>
    <n v="19415.21"/>
    <n v="174736.89"/>
  </r>
  <r>
    <s v="ORD100448"/>
    <x v="122"/>
    <s v="CUST2031"/>
    <s v="Customer_309"/>
    <n v="45"/>
    <s v="Female"/>
    <s v="Gaya"/>
    <s v="Shoes"/>
    <s v="Fashion"/>
    <n v="4"/>
    <n v="8654.1299999999992"/>
    <n v="34616.519999999997"/>
  </r>
  <r>
    <s v="ORD100449"/>
    <x v="250"/>
    <s v="CUST9219"/>
    <s v="Customer_132"/>
    <n v="30"/>
    <s v="Female"/>
    <s v="Gaya"/>
    <s v="Laptop"/>
    <s v="Electronics"/>
    <n v="5"/>
    <n v="26337.15"/>
    <n v="131685.75"/>
  </r>
  <r>
    <s v="ORD100450"/>
    <x v="88"/>
    <s v="CUST6714"/>
    <s v="Customer_31"/>
    <m/>
    <s v="Female"/>
    <m/>
    <s v="Book"/>
    <s v="Education"/>
    <n v="10"/>
    <n v="43946.96"/>
    <n v="439469.6"/>
  </r>
  <r>
    <s v="ORD100451"/>
    <x v="229"/>
    <s v="CUST3773"/>
    <s v="Customer_181"/>
    <n v="27"/>
    <s v="Male"/>
    <s v="Patna"/>
    <s v="Chair"/>
    <s v="Furniture"/>
    <n v="8"/>
    <n v="30576"/>
    <n v="244608"/>
  </r>
  <r>
    <s v="ORD100452"/>
    <x v="87"/>
    <s v="CUST5766"/>
    <s v="Customer_85"/>
    <n v="27"/>
    <s v="Male"/>
    <s v="Gaya"/>
    <s v="Shoes"/>
    <s v="Fashion"/>
    <n v="7"/>
    <n v="32289.77"/>
    <n v="226028.39"/>
  </r>
  <r>
    <s v="ORD100453"/>
    <x v="14"/>
    <s v="CUST1189"/>
    <s v="Customer_490"/>
    <n v="39"/>
    <s v="Female"/>
    <s v="Pune"/>
    <s v="Shoes"/>
    <s v="Fashion"/>
    <n v="2"/>
    <n v="18153.87"/>
    <n v="36307.74"/>
  </r>
  <r>
    <s v="ORD100454"/>
    <x v="251"/>
    <s v="CUST4756"/>
    <s v="Customer_104"/>
    <n v="57"/>
    <s v="Female"/>
    <s v="Delhi"/>
    <s v="Laptop"/>
    <s v="Electronics"/>
    <n v="1"/>
    <n v="5815.69"/>
    <n v="5815.69"/>
  </r>
  <r>
    <s v="ORD100455"/>
    <x v="26"/>
    <s v="CUST9125"/>
    <s v="Customer_19"/>
    <n v="21"/>
    <s v="Female"/>
    <s v="Mumbai"/>
    <s v="Chair"/>
    <s v="Furniture"/>
    <n v="1"/>
    <n v="47927.360000000001"/>
    <n v="47927.360000000001"/>
  </r>
  <r>
    <s v="ORD100456"/>
    <x v="8"/>
    <s v="CUST6806"/>
    <s v="Customer_316"/>
    <n v="46"/>
    <s v="Male"/>
    <s v="Pune"/>
    <s v="Laptop"/>
    <s v="Electronics"/>
    <n v="8"/>
    <n v="30816.21"/>
    <n v="246529.68"/>
  </r>
  <r>
    <s v="ORD100457"/>
    <x v="252"/>
    <s v="CUST9543"/>
    <s v="Customer_448"/>
    <n v="45"/>
    <s v="Female"/>
    <s v="Bengaluru"/>
    <s v="Chair"/>
    <s v="Furniture"/>
    <n v="2"/>
    <n v="45809.09"/>
    <n v="91618.18"/>
  </r>
  <r>
    <s v="ORD100458"/>
    <x v="18"/>
    <s v="CUST6136"/>
    <s v="Customer_328"/>
    <n v="22"/>
    <s v="Male"/>
    <s v="Hyderabad"/>
    <s v="Chair"/>
    <s v="Furniture"/>
    <n v="10"/>
    <n v="7127.33"/>
    <n v="71273.3"/>
  </r>
  <r>
    <s v="ORD100459"/>
    <x v="83"/>
    <s v="CUST9131"/>
    <s v="Customer_249"/>
    <n v="38"/>
    <s v="Female"/>
    <s v="Delhi"/>
    <s v="Book"/>
    <s v="Education"/>
    <n v="9"/>
    <n v="41434.83"/>
    <n v="372913.47"/>
  </r>
  <r>
    <s v="ORD100460"/>
    <x v="253"/>
    <s v="CUST4317"/>
    <s v="Customer_498"/>
    <n v="50"/>
    <s v="Female"/>
    <s v="Delhi"/>
    <s v="Book"/>
    <s v="Education"/>
    <n v="4"/>
    <n v="36242.410000000003"/>
    <n v="144969.64000000001"/>
  </r>
  <r>
    <s v="ORD100461"/>
    <x v="99"/>
    <s v="CUST5702"/>
    <s v="Customer_381"/>
    <n v="48"/>
    <s v="Female"/>
    <s v="Pune"/>
    <s v="Book"/>
    <s v="Education"/>
    <n v="10"/>
    <n v="13908.48"/>
    <n v="139084.79999999999"/>
  </r>
  <r>
    <s v="ORD100462"/>
    <x v="254"/>
    <s v="CUST9379"/>
    <s v="Customer_263"/>
    <n v="38"/>
    <s v="Female"/>
    <s v="Kolkata"/>
    <s v="Laptop"/>
    <s v="Electronics"/>
    <n v="1"/>
    <n v="9009.36"/>
    <n v="9009.36"/>
  </r>
  <r>
    <s v="ORD100463"/>
    <x v="255"/>
    <s v="CUST7664"/>
    <s v="Customer_376"/>
    <n v="43"/>
    <s v="Female"/>
    <s v="Delhi"/>
    <s v="Shoes"/>
    <s v="Fashion"/>
    <n v="6"/>
    <n v="36021.08"/>
    <n v="216126.48"/>
  </r>
  <r>
    <s v="ORD100464"/>
    <x v="119"/>
    <s v="CUST1710"/>
    <s v="Customer_355"/>
    <n v="46"/>
    <s v="Female"/>
    <s v="Hyderabad"/>
    <s v="Book"/>
    <s v="Education"/>
    <n v="10"/>
    <n v="44045.66"/>
    <n v="440456.6"/>
  </r>
  <r>
    <s v="ORD100465"/>
    <x v="256"/>
    <s v="CUST2680"/>
    <s v="Customer_90"/>
    <n v="65"/>
    <s v="Female"/>
    <s v="Patna"/>
    <s v="Book"/>
    <s v="Education"/>
    <n v="3"/>
    <n v="41596.85"/>
    <n v="124790.55"/>
  </r>
  <r>
    <s v="ORD100466"/>
    <x v="65"/>
    <s v="CUST6783"/>
    <s v="Customer_7"/>
    <n v="30"/>
    <s v="Male"/>
    <s v="Kolkata"/>
    <s v="Book"/>
    <s v="Education"/>
    <n v="9"/>
    <n v="21020.37"/>
    <n v="189183.33"/>
  </r>
  <r>
    <s v="ORD100467"/>
    <x v="207"/>
    <s v="CUST8039"/>
    <s v="Customer_391"/>
    <n v="55"/>
    <s v="Female"/>
    <s v="Kolkata"/>
    <s v="Book"/>
    <s v="Education"/>
    <n v="6"/>
    <n v="28483.33"/>
    <n v="170899.98"/>
  </r>
  <r>
    <s v="ORD100468"/>
    <x v="152"/>
    <s v="CUST7564"/>
    <s v="Customer_478"/>
    <n v="20"/>
    <s v="Female"/>
    <s v="Patna"/>
    <s v="Book"/>
    <s v="Education"/>
    <n v="8"/>
    <n v="22060.38"/>
    <n v="176483.04"/>
  </r>
  <r>
    <s v="ORD100469"/>
    <x v="257"/>
    <s v="CUST8899"/>
    <s v="Customer_482"/>
    <n v="30"/>
    <s v="Male"/>
    <s v="Delhi"/>
    <s v="Mobile"/>
    <s v="Electronics"/>
    <n v="9"/>
    <n v="17074.46"/>
    <n v="153670.14000000001"/>
  </r>
  <r>
    <s v="ORD100470"/>
    <x v="9"/>
    <s v="CUST1453"/>
    <s v="Customer_60"/>
    <n v="51"/>
    <s v="Male"/>
    <s v="Gaya"/>
    <s v="Shoes"/>
    <s v="Fashion"/>
    <n v="6"/>
    <n v="7136.1"/>
    <n v="42816.6"/>
  </r>
  <r>
    <s v="ORD100471"/>
    <x v="198"/>
    <s v="CUST5363"/>
    <s v="Customer_423"/>
    <n v="56"/>
    <s v="Male"/>
    <s v="Delhi"/>
    <s v="Rice"/>
    <s v="Grocery"/>
    <n v="4"/>
    <n v="33964.14"/>
    <n v="135856.56"/>
  </r>
  <r>
    <s v="ORD100472"/>
    <x v="258"/>
    <s v="CUST8325"/>
    <s v="Customer_16"/>
    <n v="62"/>
    <s v="Female"/>
    <s v="Bengaluru"/>
    <s v="Chair"/>
    <s v="Furniture"/>
    <n v="7"/>
    <n v="46331.16"/>
    <n v="324318.12"/>
  </r>
  <r>
    <s v="ORD100473"/>
    <x v="168"/>
    <s v="CUST7374"/>
    <s v="Customer_382"/>
    <n v="21"/>
    <s v="Male"/>
    <s v="Mumbai"/>
    <s v="Rice"/>
    <s v="Grocery"/>
    <n v="10"/>
    <n v="27530.02"/>
    <n v="275300.2"/>
  </r>
  <r>
    <s v="ORD100474"/>
    <x v="259"/>
    <s v="CUST3741"/>
    <s v="Customer_461"/>
    <n v="57"/>
    <s v="Female"/>
    <s v="Mumbai"/>
    <s v="Laptop"/>
    <s v="Electronics"/>
    <n v="2"/>
    <n v="24291.74"/>
    <n v="48583.48"/>
  </r>
  <r>
    <s v="ORD100475"/>
    <x v="17"/>
    <s v="CUST4758"/>
    <s v="Customer_372"/>
    <n v="63"/>
    <s v="Male"/>
    <s v="Pune"/>
    <s v="Laptop"/>
    <s v="Electronics"/>
    <n v="5"/>
    <n v="13257.79"/>
    <n v="66288.95"/>
  </r>
  <r>
    <s v="ORD100476"/>
    <x v="260"/>
    <s v="CUST1940"/>
    <s v="Customer_40"/>
    <n v="48"/>
    <s v="Male"/>
    <s v="Gaya"/>
    <s v="Shoes"/>
    <s v="Fashion"/>
    <n v="10"/>
    <n v="16360.67"/>
    <n v="163606.70000000001"/>
  </r>
  <r>
    <s v="ORD100477"/>
    <x v="207"/>
    <s v="CUST3024"/>
    <s v="Customer_332"/>
    <n v="22"/>
    <s v="Female"/>
    <s v="Patna"/>
    <s v="Laptop"/>
    <s v="Electronics"/>
    <n v="6"/>
    <n v="40480.730000000003"/>
    <n v="242884.38"/>
  </r>
  <r>
    <s v="ORD100478"/>
    <x v="261"/>
    <s v="CUST7981"/>
    <s v="Customer_196"/>
    <n v="46"/>
    <s v="Male"/>
    <s v="Mumbai"/>
    <s v="Chair"/>
    <s v="Furniture"/>
    <n v="2"/>
    <n v="747.57"/>
    <n v="1495.14"/>
  </r>
  <r>
    <s v="ORD100479"/>
    <x v="260"/>
    <s v="CUST9259"/>
    <s v="Customer_276"/>
    <n v="30"/>
    <s v="Male"/>
    <s v="Hyderabad"/>
    <s v="Laptop"/>
    <s v="Electronics"/>
    <n v="2"/>
    <n v="35420.46"/>
    <n v="70840.92"/>
  </r>
  <r>
    <s v="ORD100050"/>
    <x v="233"/>
    <s v="CUST8225"/>
    <s v="Customer_468"/>
    <n v="64"/>
    <s v="Male"/>
    <s v="Bengaluru"/>
    <s v="Rice"/>
    <s v="Grocery"/>
    <n v="8"/>
    <n v="38957.589999999997"/>
    <n v="311660.71999999997"/>
  </r>
  <r>
    <s v="ORD100481"/>
    <x v="206"/>
    <s v="CUST4966"/>
    <s v="Customer_367"/>
    <n v="47"/>
    <s v="Female"/>
    <s v="Bengaluru"/>
    <s v="Chair"/>
    <s v="Furniture"/>
    <n v="3"/>
    <n v="2762.18"/>
    <n v="8286.5400000000009"/>
  </r>
  <r>
    <s v="ORD100482"/>
    <x v="131"/>
    <s v="CUST2632"/>
    <s v="Customer_321"/>
    <n v="56"/>
    <s v="Male"/>
    <s v="Kolkata"/>
    <s v="Laptop"/>
    <s v="Electronics"/>
    <n v="2"/>
    <n v="33800.83"/>
    <n v="67601.66"/>
  </r>
  <r>
    <s v="ORD100483"/>
    <x v="127"/>
    <s v="CUST3723"/>
    <s v="Customer_208"/>
    <n v="52"/>
    <s v="Male"/>
    <s v="Kolkata"/>
    <s v="Laptop"/>
    <s v="Electronics"/>
    <n v="4"/>
    <n v="4113.3999999999996"/>
    <n v="16453.599999999999"/>
  </r>
  <r>
    <s v="ORD100484"/>
    <x v="62"/>
    <s v="CUST8322"/>
    <s v="Customer_429"/>
    <n v="28"/>
    <s v="Male"/>
    <s v="Hyderabad"/>
    <s v="Chair"/>
    <s v="Furniture"/>
    <n v="10"/>
    <n v="24297.48"/>
    <n v="242974.8"/>
  </r>
  <r>
    <s v="ORD100485"/>
    <x v="262"/>
    <s v="CUST9464"/>
    <s v="Customer_357"/>
    <n v="39"/>
    <s v="Male"/>
    <s v="Gaya"/>
    <s v="Book"/>
    <s v="Education"/>
    <n v="9"/>
    <n v="5037.6000000000004"/>
    <n v="45338.400000000001"/>
  </r>
  <r>
    <s v="ORD100486"/>
    <x v="263"/>
    <s v="CUST4264"/>
    <s v="Customer_304"/>
    <n v="26"/>
    <s v="Female"/>
    <s v="Patna"/>
    <s v="Mobile"/>
    <s v="Electronics"/>
    <n v="8"/>
    <n v="34803.410000000003"/>
    <n v="278427.28000000003"/>
  </r>
  <r>
    <s v="ORD100487"/>
    <x v="77"/>
    <s v="CUST8691"/>
    <s v="Customer_252"/>
    <n v="27"/>
    <s v="Male"/>
    <s v="Patna"/>
    <s v="Shoes"/>
    <s v="Fashion"/>
    <n v="9"/>
    <n v="9123.43"/>
    <n v="82110.87"/>
  </r>
  <r>
    <s v="ORD100488"/>
    <x v="235"/>
    <s v="CUST7117"/>
    <s v="Customer_6"/>
    <n v="53"/>
    <s v="Female"/>
    <s v="Gaya"/>
    <s v="Chair"/>
    <s v="Furniture"/>
    <n v="6"/>
    <n v="6567.81"/>
    <n v="39406.86"/>
  </r>
  <r>
    <s v="ORD100489"/>
    <x v="77"/>
    <s v="CUST4167"/>
    <s v="Customer_113"/>
    <n v="41"/>
    <s v="Female"/>
    <s v="Kolkata"/>
    <s v="Mobile"/>
    <s v="Electronics"/>
    <n v="9"/>
    <n v="27766.560000000001"/>
    <n v="249899.04"/>
  </r>
  <r>
    <s v="ORD100490"/>
    <x v="8"/>
    <s v="CUST6969"/>
    <s v="Customer_83"/>
    <n v="41"/>
    <s v="Female"/>
    <s v="Hyderabad"/>
    <s v="Rice"/>
    <s v="Grocery"/>
    <n v="5"/>
    <n v="33535.53"/>
    <n v="167677.65"/>
  </r>
  <r>
    <s v="ORD100491"/>
    <x v="183"/>
    <s v="CUST9486"/>
    <s v="Customer_19"/>
    <n v="29"/>
    <s v="Male"/>
    <s v="Hyderabad"/>
    <s v="Shoes"/>
    <s v="Fashion"/>
    <n v="9"/>
    <n v="48011.48"/>
    <n v="432103.32"/>
  </r>
  <r>
    <s v="ORD100492"/>
    <x v="111"/>
    <s v="CUST2708"/>
    <s v="Customer_57"/>
    <n v="52"/>
    <s v="Male"/>
    <s v="Delhi"/>
    <s v="Book"/>
    <s v="Education"/>
    <n v="9"/>
    <n v="21084.400000000001"/>
    <n v="189759.6"/>
  </r>
  <r>
    <s v="ORD100493"/>
    <x v="191"/>
    <s v="CUST1833"/>
    <s v="Customer_357"/>
    <n v="63"/>
    <s v="Male"/>
    <s v="Gaya"/>
    <s v="Book"/>
    <s v="Education"/>
    <n v="3"/>
    <n v="37002.06"/>
    <n v="111006.18"/>
  </r>
  <r>
    <s v="ORD100494"/>
    <x v="264"/>
    <s v="CUST8425"/>
    <s v="Customer_254"/>
    <n v="47"/>
    <s v="Male"/>
    <s v="Delhi"/>
    <s v="Laptop"/>
    <s v="Electronics"/>
    <n v="3"/>
    <n v="33382.46"/>
    <n v="100147.38"/>
  </r>
  <r>
    <s v="ORD100495"/>
    <x v="199"/>
    <s v="CUST3911"/>
    <s v="Customer_304"/>
    <n v="26"/>
    <s v="Female"/>
    <s v="Gaya"/>
    <s v="Shoes"/>
    <s v="Fashion"/>
    <n v="5"/>
    <n v="16321.45"/>
    <n v="81607.25"/>
  </r>
  <r>
    <s v="ORD100496"/>
    <x v="264"/>
    <s v="CUST2812"/>
    <s v="Customer_249"/>
    <n v="55"/>
    <s v="Male"/>
    <s v="Gaya"/>
    <s v="Chair"/>
    <s v="Furniture"/>
    <n v="1"/>
    <n v="767.61"/>
    <n v="767.61"/>
  </r>
  <r>
    <s v="ORD100497"/>
    <x v="162"/>
    <s v="CUST8000"/>
    <s v="Customer_275"/>
    <n v="51"/>
    <s v="Male"/>
    <s v="Kolkata"/>
    <s v="Rice"/>
    <s v="Grocery"/>
    <n v="8"/>
    <n v="18862.36"/>
    <n v="150898.88"/>
  </r>
  <r>
    <s v="ORD100498"/>
    <x v="5"/>
    <s v="CUST6862"/>
    <s v="Customer_257"/>
    <n v="45"/>
    <s v="Female"/>
    <s v="Patna"/>
    <s v="Chair"/>
    <s v="Furniture"/>
    <n v="2"/>
    <n v="47693.33"/>
    <n v="95386.66"/>
  </r>
  <r>
    <s v="ORD100499"/>
    <x v="77"/>
    <s v="CUST1616"/>
    <s v="Customer_288"/>
    <n v="44"/>
    <s v="Female"/>
    <s v="Delhi"/>
    <s v="Mobile"/>
    <s v="Electronics"/>
    <n v="3"/>
    <n v="33234.99"/>
    <n v="99704.97"/>
  </r>
  <r>
    <s v="ORD100500"/>
    <x v="123"/>
    <s v="CUST2835"/>
    <s v="Customer_468"/>
    <m/>
    <s v="Male"/>
    <s v="Kolkata"/>
    <s v="Chair"/>
    <s v="Furniture"/>
    <n v="9"/>
    <n v="7268.14"/>
    <n v="65413.26"/>
  </r>
  <r>
    <s v="ORD100501"/>
    <x v="179"/>
    <s v="CUST7494"/>
    <s v="Customer_188"/>
    <n v="30"/>
    <s v="Female"/>
    <s v="Mumbai"/>
    <s v="Mobile"/>
    <s v="Electronics"/>
    <n v="10"/>
    <n v="10702.89"/>
    <n v="107028.9"/>
  </r>
  <r>
    <s v="ORD100502"/>
    <x v="52"/>
    <s v="CUST8789"/>
    <s v="Customer_4"/>
    <n v="52"/>
    <s v="Female"/>
    <s v="Delhi"/>
    <s v="Book"/>
    <s v="Education"/>
    <n v="2"/>
    <n v="13323.8"/>
    <n v="26647.599999999999"/>
  </r>
  <r>
    <s v="ORD100503"/>
    <x v="221"/>
    <s v="CUST4457"/>
    <s v="Customer_212"/>
    <n v="31"/>
    <s v="Female"/>
    <s v="Hyderabad"/>
    <s v="Laptop"/>
    <s v="Electronics"/>
    <n v="4"/>
    <n v="27565.01"/>
    <n v="110260.04"/>
  </r>
  <r>
    <s v="ORD100504"/>
    <x v="57"/>
    <s v="CUST6258"/>
    <s v="Customer_229"/>
    <n v="52"/>
    <s v="Male"/>
    <s v="Pune"/>
    <s v="Mobile"/>
    <s v="Electronics"/>
    <n v="1"/>
    <n v="40225.629999999997"/>
    <n v="40225.629999999997"/>
  </r>
  <r>
    <s v="ORD100505"/>
    <x v="188"/>
    <s v="CUST9324"/>
    <s v="Customer_58"/>
    <n v="61"/>
    <s v="Female"/>
    <s v="Hyderabad"/>
    <s v="Chair"/>
    <s v="Furniture"/>
    <n v="1"/>
    <n v="12494.97"/>
    <n v="12494.97"/>
  </r>
  <r>
    <s v="ORD100506"/>
    <x v="265"/>
    <s v="CUST2027"/>
    <s v="Customer_458"/>
    <n v="32"/>
    <s v="Male"/>
    <s v="Gaya"/>
    <s v="Rice"/>
    <s v="Grocery"/>
    <n v="3"/>
    <n v="40440.720000000001"/>
    <n v="121322.16"/>
  </r>
  <r>
    <s v="ORD100507"/>
    <x v="266"/>
    <s v="CUST9966"/>
    <s v="Customer_199"/>
    <n v="44"/>
    <s v="Male"/>
    <s v="Kolkata"/>
    <s v="Laptop"/>
    <s v="Electronics"/>
    <n v="10"/>
    <n v="25386.400000000001"/>
    <n v="253864"/>
  </r>
  <r>
    <s v="ORD100508"/>
    <x v="32"/>
    <s v="CUST3747"/>
    <s v="Customer_322"/>
    <n v="47"/>
    <s v="Female"/>
    <s v="Mumbai"/>
    <s v="Laptop"/>
    <s v="Electronics"/>
    <n v="3"/>
    <n v="7991.06"/>
    <n v="23973.18"/>
  </r>
  <r>
    <s v="ORD100509"/>
    <x v="65"/>
    <s v="CUST9303"/>
    <s v="Customer_321"/>
    <n v="44"/>
    <s v="Female"/>
    <s v="Kolkata"/>
    <s v="Mobile"/>
    <s v="Electronics"/>
    <n v="9"/>
    <n v="41886.870000000003"/>
    <n v="376981.83"/>
  </r>
  <r>
    <s v="ORD100510"/>
    <x v="37"/>
    <s v="CUST9282"/>
    <s v="Customer_322"/>
    <n v="58"/>
    <s v="Female"/>
    <s v="Mumbai"/>
    <s v="Laptop"/>
    <s v="Electronics"/>
    <n v="10"/>
    <n v="7062.57"/>
    <n v="70625.7"/>
  </r>
  <r>
    <s v="ORD100511"/>
    <x v="29"/>
    <s v="CUST1565"/>
    <s v="Customer_353"/>
    <n v="27"/>
    <s v="Female"/>
    <s v="Delhi"/>
    <s v="Book"/>
    <s v="Education"/>
    <n v="10"/>
    <n v="8028.98"/>
    <n v="80289.8"/>
  </r>
  <r>
    <s v="ORD100512"/>
    <x v="80"/>
    <s v="CUST6704"/>
    <s v="Customer_335"/>
    <n v="24"/>
    <s v="Female"/>
    <s v="Mumbai"/>
    <s v="Chair"/>
    <s v="Furniture"/>
    <n v="7"/>
    <n v="49735.32"/>
    <n v="348147.24"/>
  </r>
  <r>
    <s v="ORD100513"/>
    <x v="76"/>
    <s v="CUST8023"/>
    <s v="Customer_118"/>
    <n v="50"/>
    <s v="Female"/>
    <s v="Mumbai"/>
    <s v="Shoes"/>
    <s v="Fashion"/>
    <n v="4"/>
    <n v="25461.32"/>
    <n v="101845.28"/>
  </r>
  <r>
    <s v="ORD100514"/>
    <x v="28"/>
    <s v="CUST6860"/>
    <s v="Customer_168"/>
    <n v="30"/>
    <s v="Male"/>
    <s v="Bengaluru"/>
    <s v="Laptop"/>
    <s v="Electronics"/>
    <n v="1"/>
    <n v="30210.720000000001"/>
    <n v="30210.720000000001"/>
  </r>
  <r>
    <s v="ORD100515"/>
    <x v="169"/>
    <s v="CUST2661"/>
    <s v="Customer_370"/>
    <n v="41"/>
    <s v="Male"/>
    <s v="Delhi"/>
    <s v="Mobile"/>
    <s v="Electronics"/>
    <n v="6"/>
    <n v="42150.74"/>
    <n v="252904.44"/>
  </r>
  <r>
    <s v="ORD100516"/>
    <x v="239"/>
    <s v="CUST1316"/>
    <s v="Customer_3"/>
    <n v="37"/>
    <s v="Female"/>
    <s v="Delhi"/>
    <s v="Mobile"/>
    <s v="Electronics"/>
    <n v="1"/>
    <n v="16249.69"/>
    <n v="16249.69"/>
  </r>
  <r>
    <s v="ORD100517"/>
    <x v="193"/>
    <s v="CUST7283"/>
    <s v="Customer_262"/>
    <n v="34"/>
    <s v="Male"/>
    <s v="Mumbai"/>
    <s v="Shoes"/>
    <s v="Fashion"/>
    <n v="6"/>
    <n v="16403.009999999998"/>
    <n v="98418.06"/>
  </r>
  <r>
    <s v="ORD100518"/>
    <x v="153"/>
    <s v="CUST3089"/>
    <s v="Customer_339"/>
    <n v="35"/>
    <s v="Female"/>
    <s v="Kolkata"/>
    <s v="Laptop"/>
    <s v="Electronics"/>
    <n v="7"/>
    <n v="19933.439999999999"/>
    <n v="139534.07999999999"/>
  </r>
  <r>
    <s v="ORD100519"/>
    <x v="91"/>
    <s v="CUST8947"/>
    <s v="Customer_375"/>
    <n v="65"/>
    <s v="Female"/>
    <s v="Patna"/>
    <s v="Rice"/>
    <s v="Grocery"/>
    <n v="3"/>
    <n v="48879.87"/>
    <n v="146639.60999999999"/>
  </r>
  <r>
    <s v="ORD100520"/>
    <x v="155"/>
    <s v="CUST9042"/>
    <s v="Customer_354"/>
    <n v="31"/>
    <s v="Female"/>
    <s v="Hyderabad"/>
    <s v="Chair"/>
    <s v="Furniture"/>
    <n v="2"/>
    <n v="32458.06"/>
    <n v="64916.12"/>
  </r>
  <r>
    <s v="ORD100521"/>
    <x v="195"/>
    <s v="CUST8907"/>
    <s v="Customer_51"/>
    <n v="47"/>
    <s v="Male"/>
    <s v="Hyderabad"/>
    <s v="Rice"/>
    <s v="Grocery"/>
    <n v="9"/>
    <n v="32104.55"/>
    <n v="288940.95"/>
  </r>
  <r>
    <s v="ORD100522"/>
    <x v="12"/>
    <s v="CUST6260"/>
    <s v="Customer_455"/>
    <n v="37"/>
    <s v="Male"/>
    <s v="Gaya"/>
    <s v="Laptop"/>
    <s v="Electronics"/>
    <n v="3"/>
    <n v="35318.199999999997"/>
    <n v="105954.6"/>
  </r>
  <r>
    <s v="ORD100523"/>
    <x v="267"/>
    <s v="CUST9055"/>
    <s v="Customer_359"/>
    <n v="62"/>
    <s v="Male"/>
    <s v="Gaya"/>
    <s v="Mobile"/>
    <s v="Electronics"/>
    <n v="1"/>
    <n v="47870.04"/>
    <n v="47870.04"/>
  </r>
  <r>
    <s v="ORD100524"/>
    <x v="109"/>
    <s v="CUST3778"/>
    <s v="Customer_96"/>
    <n v="39"/>
    <s v="Female"/>
    <s v="Bengaluru"/>
    <s v="Shoes"/>
    <s v="Fashion"/>
    <n v="1"/>
    <n v="47848"/>
    <n v="47848"/>
  </r>
  <r>
    <s v="ORD100525"/>
    <x v="5"/>
    <s v="CUST1090"/>
    <s v="Customer_316"/>
    <n v="45"/>
    <s v="Female"/>
    <m/>
    <s v="Shoes"/>
    <s v="Fashion"/>
    <n v="7"/>
    <n v="751.97"/>
    <n v="5263.79"/>
  </r>
  <r>
    <s v="ORD100526"/>
    <x v="241"/>
    <s v="CUST6706"/>
    <s v="Customer_215"/>
    <n v="54"/>
    <s v="Male"/>
    <s v="Mumbai"/>
    <s v="Mobile"/>
    <s v="Electronics"/>
    <n v="2"/>
    <n v="22666.98"/>
    <n v="45333.96"/>
  </r>
  <r>
    <s v="ORD100527"/>
    <x v="100"/>
    <s v="CUST8200"/>
    <s v="Customer_147"/>
    <n v="22"/>
    <s v="Female"/>
    <s v="Patna"/>
    <s v="Mobile"/>
    <s v="Electronics"/>
    <n v="8"/>
    <n v="12225.23"/>
    <n v="97801.84"/>
  </r>
  <r>
    <s v="ORD100528"/>
    <x v="203"/>
    <s v="CUST5010"/>
    <s v="Customer_46"/>
    <n v="41"/>
    <s v="Female"/>
    <s v="Pune"/>
    <s v="Rice"/>
    <s v="Grocery"/>
    <n v="7"/>
    <n v="17760.62"/>
    <n v="124324.34"/>
  </r>
  <r>
    <s v="ORD100529"/>
    <x v="146"/>
    <s v="CUST5233"/>
    <s v="Customer_108"/>
    <n v="26"/>
    <s v="Male"/>
    <s v="Mumbai"/>
    <s v="Book"/>
    <s v="Education"/>
    <n v="6"/>
    <n v="8151.02"/>
    <n v="48906.12"/>
  </r>
  <r>
    <s v="ORD100530"/>
    <x v="214"/>
    <s v="CUST4089"/>
    <s v="Customer_79"/>
    <n v="42"/>
    <s v="Male"/>
    <s v="Gaya"/>
    <s v="Shoes"/>
    <s v="Fashion"/>
    <n v="9"/>
    <n v="12514.53"/>
    <n v="112630.77"/>
  </r>
  <r>
    <s v="ORD100531"/>
    <x v="268"/>
    <s v="CUST7568"/>
    <s v="Customer_12"/>
    <n v="65"/>
    <s v="Male"/>
    <s v="Gaya"/>
    <s v="Rice"/>
    <s v="Grocery"/>
    <n v="1"/>
    <n v="40250.629999999997"/>
    <n v="40250.629999999997"/>
  </r>
  <r>
    <s v="ORD100532"/>
    <x v="128"/>
    <s v="CUST3835"/>
    <s v="Customer_256"/>
    <n v="45"/>
    <s v="Male"/>
    <s v="Delhi"/>
    <s v="Book"/>
    <s v="Education"/>
    <n v="3"/>
    <n v="48031.9"/>
    <n v="144095.70000000001"/>
  </r>
  <r>
    <s v="ORD100533"/>
    <x v="49"/>
    <s v="CUST1124"/>
    <s v="Customer_360"/>
    <n v="18"/>
    <s v="Female"/>
    <s v="Patna"/>
    <s v="Rice"/>
    <s v="Grocery"/>
    <n v="8"/>
    <n v="45296.32"/>
    <n v="362370.56"/>
  </r>
  <r>
    <s v="ORD100534"/>
    <x v="216"/>
    <s v="CUST8700"/>
    <s v="Customer_233"/>
    <n v="35"/>
    <s v="Female"/>
    <s v="Mumbai"/>
    <s v="Mobile"/>
    <s v="Electronics"/>
    <n v="5"/>
    <n v="25036.53"/>
    <n v="125182.65"/>
  </r>
  <r>
    <s v="ORD100535"/>
    <x v="154"/>
    <s v="CUST2742"/>
    <s v="Customer_216"/>
    <n v="22"/>
    <s v="Female"/>
    <s v="Delhi"/>
    <s v="Rice"/>
    <s v="Grocery"/>
    <n v="5"/>
    <n v="21466.01"/>
    <n v="107330.05"/>
  </r>
  <r>
    <s v="ORD100536"/>
    <x v="269"/>
    <s v="CUST6394"/>
    <s v="Customer_338"/>
    <n v="57"/>
    <s v="Female"/>
    <s v="Bengaluru"/>
    <s v="Rice"/>
    <s v="Grocery"/>
    <n v="2"/>
    <n v="28506.81"/>
    <n v="57013.62"/>
  </r>
  <r>
    <s v="ORD100537"/>
    <x v="61"/>
    <s v="CUST9469"/>
    <s v="Customer_154"/>
    <n v="37"/>
    <s v="Female"/>
    <s v="Mumbai"/>
    <s v="Chair"/>
    <s v="Furniture"/>
    <n v="6"/>
    <n v="30698.79"/>
    <n v="184192.74"/>
  </r>
  <r>
    <s v="ORD100538"/>
    <x v="28"/>
    <s v="CUST5133"/>
    <s v="Customer_86"/>
    <n v="56"/>
    <s v="Female"/>
    <s v="Pune"/>
    <s v="Laptop"/>
    <s v="Electronics"/>
    <n v="6"/>
    <n v="3230.47"/>
    <n v="19382.82"/>
  </r>
  <r>
    <s v="ORD100539"/>
    <x v="194"/>
    <s v="CUST5535"/>
    <s v="Customer_146"/>
    <n v="28"/>
    <s v="Male"/>
    <s v="Gaya"/>
    <s v="Rice"/>
    <s v="Grocery"/>
    <n v="6"/>
    <n v="13606.65"/>
    <n v="81639.899999999994"/>
  </r>
  <r>
    <s v="ORD100540"/>
    <x v="225"/>
    <s v="CUST1419"/>
    <s v="Customer_226"/>
    <n v="28"/>
    <s v="Male"/>
    <s v="Mumbai"/>
    <s v="Rice"/>
    <s v="Grocery"/>
    <n v="6"/>
    <n v="9146.39"/>
    <n v="54878.34"/>
  </r>
  <r>
    <s v="ORD100541"/>
    <x v="270"/>
    <s v="CUST3972"/>
    <s v="Customer_336"/>
    <n v="20"/>
    <s v="Male"/>
    <s v="Gaya"/>
    <s v="Rice"/>
    <s v="Grocery"/>
    <n v="9"/>
    <n v="26764.87"/>
    <n v="240883.83"/>
  </r>
  <r>
    <s v="ORD100542"/>
    <x v="271"/>
    <s v="CUST2515"/>
    <s v="Customer_74"/>
    <n v="26"/>
    <s v="Female"/>
    <s v="Patna"/>
    <s v="Shoes"/>
    <s v="Fashion"/>
    <n v="7"/>
    <n v="6887.98"/>
    <n v="48215.86"/>
  </r>
  <r>
    <s v="ORD100543"/>
    <x v="117"/>
    <s v="CUST2394"/>
    <s v="Customer_293"/>
    <n v="27"/>
    <s v="Male"/>
    <s v="Patna"/>
    <s v="Rice"/>
    <s v="Grocery"/>
    <n v="6"/>
    <n v="49889.13"/>
    <n v="299334.78000000003"/>
  </r>
  <r>
    <s v="ORD100544"/>
    <x v="7"/>
    <s v="CUST7033"/>
    <s v="Customer_359"/>
    <n v="33"/>
    <s v="Male"/>
    <s v="Gaya"/>
    <s v="Laptop"/>
    <s v="Electronics"/>
    <n v="4"/>
    <n v="39050.879999999997"/>
    <n v="156203.51999999999"/>
  </r>
  <r>
    <s v="ORD100545"/>
    <x v="85"/>
    <s v="CUST7824"/>
    <s v="Customer_21"/>
    <n v="20"/>
    <s v="Male"/>
    <s v="Pune"/>
    <s v="Rice"/>
    <s v="Grocery"/>
    <n v="1"/>
    <n v="14634.25"/>
    <n v="14634.25"/>
  </r>
  <r>
    <s v="ORD100546"/>
    <x v="151"/>
    <s v="CUST2039"/>
    <s v="Customer_32"/>
    <n v="31"/>
    <s v="Male"/>
    <s v="Mumbai"/>
    <s v="Mobile"/>
    <s v="Electronics"/>
    <n v="7"/>
    <n v="33006.89"/>
    <n v="231048.23"/>
  </r>
  <r>
    <s v="ORD100547"/>
    <x v="262"/>
    <s v="CUST4569"/>
    <s v="Customer_238"/>
    <n v="38"/>
    <s v="Male"/>
    <s v="Patna"/>
    <s v="Laptop"/>
    <s v="Electronics"/>
    <n v="9"/>
    <n v="46663.92"/>
    <n v="419975.28"/>
  </r>
  <r>
    <s v="ORD100548"/>
    <x v="272"/>
    <s v="CUST7568"/>
    <s v="Customer_212"/>
    <n v="37"/>
    <s v="Female"/>
    <s v="Pune"/>
    <s v="Shoes"/>
    <s v="Fashion"/>
    <n v="9"/>
    <n v="3626.27"/>
    <n v="32636.43"/>
  </r>
  <r>
    <s v="ORD100549"/>
    <x v="38"/>
    <s v="CUST1780"/>
    <s v="Customer_250"/>
    <n v="64"/>
    <s v="Male"/>
    <s v="Hyderabad"/>
    <s v="Book"/>
    <s v="Education"/>
    <n v="8"/>
    <n v="13184.14"/>
    <n v="105473.12"/>
  </r>
  <r>
    <s v="ORD100550"/>
    <x v="100"/>
    <s v="CUST5244"/>
    <s v="Customer_44"/>
    <m/>
    <s v="Male"/>
    <s v="Pune"/>
    <s v="Rice"/>
    <s v="Grocery"/>
    <n v="5"/>
    <n v="41509.54"/>
    <n v="207547.7"/>
  </r>
  <r>
    <s v="ORD100551"/>
    <x v="58"/>
    <s v="CUST7188"/>
    <s v="Customer_180"/>
    <n v="37"/>
    <s v="Male"/>
    <s v="Bengaluru"/>
    <s v="Laptop"/>
    <s v="Electronics"/>
    <n v="2"/>
    <n v="27044.74"/>
    <n v="54089.48"/>
  </r>
  <r>
    <s v="ORD100552"/>
    <x v="49"/>
    <s v="CUST7042"/>
    <s v="Customer_137"/>
    <n v="60"/>
    <s v="Male"/>
    <s v="Kolkata"/>
    <s v="Book"/>
    <s v="Education"/>
    <n v="2"/>
    <n v="35113.980000000003"/>
    <n v="70227.960000000006"/>
  </r>
  <r>
    <s v="ORD100553"/>
    <x v="262"/>
    <s v="CUST4646"/>
    <s v="Customer_365"/>
    <n v="36"/>
    <s v="Female"/>
    <s v="Bengaluru"/>
    <s v="Rice"/>
    <s v="Grocery"/>
    <n v="5"/>
    <n v="38032.019999999997"/>
    <n v="190160.1"/>
  </r>
  <r>
    <s v="ORD100554"/>
    <x v="273"/>
    <s v="CUST3623"/>
    <s v="Customer_1"/>
    <n v="35"/>
    <s v="Male"/>
    <s v="Mumbai"/>
    <s v="Mobile"/>
    <s v="Electronics"/>
    <n v="9"/>
    <n v="37614.58"/>
    <n v="338531.22"/>
  </r>
  <r>
    <s v="ORD100555"/>
    <x v="213"/>
    <s v="CUST1399"/>
    <s v="Customer_431"/>
    <n v="60"/>
    <s v="Male"/>
    <s v="Gaya"/>
    <s v="Book"/>
    <s v="Education"/>
    <n v="4"/>
    <n v="18505.560000000001"/>
    <n v="74022.240000000005"/>
  </r>
  <r>
    <s v="ORD100556"/>
    <x v="274"/>
    <s v="CUST2515"/>
    <s v="Customer_219"/>
    <n v="21"/>
    <s v="Male"/>
    <s v="Hyderabad"/>
    <s v="Mobile"/>
    <s v="Electronics"/>
    <n v="6"/>
    <n v="21017.46"/>
    <n v="126104.76"/>
  </r>
  <r>
    <s v="ORD100557"/>
    <x v="73"/>
    <s v="CUST7285"/>
    <s v="Customer_493"/>
    <n v="18"/>
    <s v="Female"/>
    <s v="Hyderabad"/>
    <s v="Book"/>
    <s v="Education"/>
    <n v="8"/>
    <n v="1204.93"/>
    <n v="9639.44"/>
  </r>
  <r>
    <s v="ORD100558"/>
    <x v="275"/>
    <s v="CUST1401"/>
    <s v="Customer_151"/>
    <n v="35"/>
    <s v="Male"/>
    <s v="Delhi"/>
    <s v="Rice"/>
    <s v="Grocery"/>
    <n v="7"/>
    <n v="36390.58"/>
    <n v="254734.06"/>
  </r>
  <r>
    <s v="ORD100559"/>
    <x v="193"/>
    <s v="CUST9458"/>
    <s v="Customer_25"/>
    <n v="22"/>
    <s v="Male"/>
    <s v="Delhi"/>
    <s v="Mobile"/>
    <s v="Electronics"/>
    <n v="2"/>
    <n v="17302.3"/>
    <n v="34604.6"/>
  </r>
  <r>
    <s v="ORD100560"/>
    <x v="29"/>
    <s v="CUST9612"/>
    <s v="Customer_463"/>
    <n v="21"/>
    <s v="Male"/>
    <s v="Kolkata"/>
    <s v="Mobile"/>
    <s v="Electronics"/>
    <n v="10"/>
    <n v="6613.42"/>
    <n v="66134.2"/>
  </r>
  <r>
    <s v="ORD100561"/>
    <x v="139"/>
    <s v="CUST2520"/>
    <s v="Customer_93"/>
    <n v="34"/>
    <s v="Female"/>
    <s v="Kolkata"/>
    <s v="Mobile"/>
    <s v="Electronics"/>
    <n v="5"/>
    <n v="28280.37"/>
    <n v="141401.85"/>
  </r>
  <r>
    <s v="ORD100562"/>
    <x v="223"/>
    <s v="CUST3001"/>
    <s v="Customer_327"/>
    <n v="56"/>
    <s v="Female"/>
    <s v="Delhi"/>
    <s v="Book"/>
    <s v="Education"/>
    <n v="1"/>
    <n v="6150.86"/>
    <n v="6150.86"/>
  </r>
  <r>
    <s v="ORD100563"/>
    <x v="276"/>
    <s v="CUST7491"/>
    <s v="Customer_139"/>
    <n v="46"/>
    <s v="Female"/>
    <s v="Bengaluru"/>
    <s v="Rice"/>
    <s v="Grocery"/>
    <n v="4"/>
    <n v="26924.41"/>
    <n v="107697.64"/>
  </r>
  <r>
    <s v="ORD100564"/>
    <x v="23"/>
    <s v="CUST3473"/>
    <s v="Customer_20"/>
    <n v="56"/>
    <s v="Male"/>
    <s v="Hyderabad"/>
    <s v="Book"/>
    <s v="Education"/>
    <n v="3"/>
    <n v="6301.32"/>
    <n v="18903.96"/>
  </r>
  <r>
    <s v="ORD100565"/>
    <x v="277"/>
    <s v="CUST6748"/>
    <s v="Customer_2"/>
    <n v="40"/>
    <s v="Female"/>
    <s v="Patna"/>
    <s v="Book"/>
    <s v="Education"/>
    <n v="10"/>
    <n v="39690.68"/>
    <n v="396906.8"/>
  </r>
  <r>
    <s v="ORD100566"/>
    <x v="195"/>
    <s v="CUST4722"/>
    <s v="Customer_390"/>
    <n v="63"/>
    <s v="Male"/>
    <s v="Bengaluru"/>
    <s v="Chair"/>
    <s v="Furniture"/>
    <n v="6"/>
    <n v="36327.94"/>
    <n v="217967.64"/>
  </r>
  <r>
    <s v="ORD100567"/>
    <x v="134"/>
    <s v="CUST5431"/>
    <s v="Customer_396"/>
    <n v="60"/>
    <s v="Female"/>
    <s v="Mumbai"/>
    <s v="Mobile"/>
    <s v="Electronics"/>
    <n v="10"/>
    <n v="21547.89"/>
    <n v="215478.9"/>
  </r>
  <r>
    <s v="ORD100568"/>
    <x v="278"/>
    <s v="CUST3316"/>
    <s v="Customer_458"/>
    <n v="41"/>
    <s v="Female"/>
    <s v="Patna"/>
    <s v="Book"/>
    <s v="Education"/>
    <n v="8"/>
    <n v="32749.759999999998"/>
    <n v="261998.07999999999"/>
  </r>
  <r>
    <s v="ORD100569"/>
    <x v="78"/>
    <s v="CUST9510"/>
    <s v="Customer_345"/>
    <n v="21"/>
    <s v="Female"/>
    <s v="Kolkata"/>
    <s v="Chair"/>
    <s v="Furniture"/>
    <n v="10"/>
    <n v="43251.3"/>
    <n v="432513"/>
  </r>
  <r>
    <s v="ORD100570"/>
    <x v="32"/>
    <s v="CUST9273"/>
    <s v="Customer_162"/>
    <n v="32"/>
    <s v="Female"/>
    <s v="Hyderabad"/>
    <s v="Chair"/>
    <s v="Furniture"/>
    <n v="3"/>
    <n v="47748.45"/>
    <n v="143245.35"/>
  </r>
  <r>
    <s v="ORD100571"/>
    <x v="102"/>
    <s v="CUST5206"/>
    <s v="Customer_327"/>
    <n v="52"/>
    <s v="Female"/>
    <s v="Patna"/>
    <s v="Book"/>
    <s v="Education"/>
    <n v="4"/>
    <n v="16276.94"/>
    <n v="65107.76"/>
  </r>
  <r>
    <s v="ORD100572"/>
    <x v="135"/>
    <s v="CUST3820"/>
    <s v="Customer_312"/>
    <n v="48"/>
    <s v="Female"/>
    <s v="Delhi"/>
    <s v="Rice"/>
    <s v="Grocery"/>
    <n v="9"/>
    <n v="11122.7"/>
    <n v="100104.3"/>
  </r>
  <r>
    <s v="ORD100573"/>
    <x v="192"/>
    <s v="CUST5791"/>
    <s v="Customer_113"/>
    <n v="62"/>
    <s v="Male"/>
    <s v="Patna"/>
    <s v="Shoes"/>
    <s v="Fashion"/>
    <n v="2"/>
    <n v="39005.269999999997"/>
    <n v="78010.539999999994"/>
  </r>
  <r>
    <s v="ORD100574"/>
    <x v="71"/>
    <s v="CUST2343"/>
    <s v="Customer_39"/>
    <n v="28"/>
    <s v="Male"/>
    <s v="Patna"/>
    <s v="Mobile"/>
    <s v="Electronics"/>
    <n v="6"/>
    <n v="16346.82"/>
    <n v="98080.92"/>
  </r>
  <r>
    <s v="ORD100575"/>
    <x v="128"/>
    <s v="CUST6654"/>
    <s v="Customer_66"/>
    <n v="38"/>
    <s v="Female"/>
    <s v="Pune"/>
    <s v="Mobile"/>
    <s v="Electronics"/>
    <n v="4"/>
    <n v="3859.9"/>
    <n v="15439.6"/>
  </r>
  <r>
    <s v="ORD100576"/>
    <x v="59"/>
    <s v="CUST8820"/>
    <s v="Customer_339"/>
    <n v="39"/>
    <s v="Female"/>
    <s v="Kolkata"/>
    <s v="Laptop"/>
    <s v="Electronics"/>
    <n v="6"/>
    <n v="49058.94"/>
    <n v="294353.64"/>
  </r>
  <r>
    <s v="ORD100577"/>
    <x v="179"/>
    <s v="CUST9181"/>
    <s v="Customer_122"/>
    <n v="24"/>
    <s v="Female"/>
    <s v="Patna"/>
    <s v="Mobile"/>
    <s v="Electronics"/>
    <n v="7"/>
    <n v="413.2"/>
    <n v="2892.4"/>
  </r>
  <r>
    <s v="ORD100578"/>
    <x v="106"/>
    <s v="CUST8098"/>
    <s v="Customer_337"/>
    <n v="26"/>
    <s v="Female"/>
    <s v="Patna"/>
    <s v="Shoes"/>
    <s v="Fashion"/>
    <n v="5"/>
    <n v="21555.119999999999"/>
    <n v="107775.6"/>
  </r>
  <r>
    <s v="ORD100579"/>
    <x v="279"/>
    <s v="CUST6006"/>
    <s v="Customer_344"/>
    <n v="38"/>
    <s v="Male"/>
    <s v="Delhi"/>
    <s v="Chair"/>
    <s v="Furniture"/>
    <n v="5"/>
    <n v="37214.58"/>
    <n v="186072.9"/>
  </r>
  <r>
    <s v="ORD100580"/>
    <x v="280"/>
    <s v="CUST1094"/>
    <s v="Customer_91"/>
    <n v="31"/>
    <s v="Female"/>
    <s v="Patna"/>
    <s v="Mobile"/>
    <s v="Electronics"/>
    <n v="10"/>
    <n v="21194.59"/>
    <n v="211945.9"/>
  </r>
  <r>
    <s v="ORD100581"/>
    <x v="50"/>
    <s v="CUST1468"/>
    <s v="Customer_266"/>
    <n v="49"/>
    <s v="Female"/>
    <s v="Kolkata"/>
    <s v="Shoes"/>
    <s v="Fashion"/>
    <n v="8"/>
    <n v="44971.9"/>
    <n v="359775.2"/>
  </r>
  <r>
    <s v="ORD100582"/>
    <x v="276"/>
    <s v="CUST6704"/>
    <s v="Customer_141"/>
    <n v="39"/>
    <s v="Male"/>
    <s v="Pune"/>
    <s v="Shoes"/>
    <s v="Fashion"/>
    <n v="4"/>
    <n v="26046.5"/>
    <n v="104186"/>
  </r>
  <r>
    <s v="ORD100583"/>
    <x v="36"/>
    <s v="CUST1936"/>
    <s v="Customer_15"/>
    <n v="59"/>
    <s v="Male"/>
    <s v="Delhi"/>
    <s v="Mobile"/>
    <s v="Electronics"/>
    <n v="3"/>
    <n v="43567.37"/>
    <n v="130702.11"/>
  </r>
  <r>
    <s v="ORD100584"/>
    <x v="281"/>
    <s v="CUST8399"/>
    <s v="Customer_160"/>
    <n v="40"/>
    <s v="Male"/>
    <s v="Mumbai"/>
    <s v="Book"/>
    <s v="Education"/>
    <n v="5"/>
    <n v="19565.23"/>
    <n v="97826.15"/>
  </r>
  <r>
    <s v="ORD100585"/>
    <x v="122"/>
    <s v="CUST8075"/>
    <s v="Customer_401"/>
    <n v="62"/>
    <s v="Female"/>
    <s v="Patna"/>
    <s v="Shoes"/>
    <s v="Fashion"/>
    <n v="5"/>
    <n v="7642.55"/>
    <n v="38212.75"/>
  </r>
  <r>
    <s v="ORD100586"/>
    <x v="159"/>
    <s v="CUST8826"/>
    <s v="Customer_206"/>
    <n v="20"/>
    <s v="Female"/>
    <s v="Gaya"/>
    <s v="Mobile"/>
    <s v="Electronics"/>
    <n v="7"/>
    <n v="22060"/>
    <n v="154420"/>
  </r>
  <r>
    <s v="ORD100587"/>
    <x v="96"/>
    <s v="CUST9700"/>
    <s v="Customer_441"/>
    <n v="25"/>
    <s v="Female"/>
    <s v="Kolkata"/>
    <s v="Laptop"/>
    <s v="Electronics"/>
    <n v="2"/>
    <n v="20074.3"/>
    <n v="40148.6"/>
  </r>
  <r>
    <s v="ORD100588"/>
    <x v="18"/>
    <s v="CUST8600"/>
    <s v="Customer_53"/>
    <n v="42"/>
    <s v="Male"/>
    <s v="Hyderabad"/>
    <s v="Book"/>
    <s v="Education"/>
    <n v="2"/>
    <n v="5442.06"/>
    <n v="10884.12"/>
  </r>
  <r>
    <s v="ORD100589"/>
    <x v="79"/>
    <s v="CUST8513"/>
    <s v="Customer_125"/>
    <n v="49"/>
    <s v="Female"/>
    <s v="Pune"/>
    <s v="Mobile"/>
    <s v="Electronics"/>
    <n v="6"/>
    <n v="38159.29"/>
    <n v="228955.74"/>
  </r>
  <r>
    <s v="ORD100590"/>
    <x v="91"/>
    <s v="CUST8595"/>
    <s v="Customer_63"/>
    <n v="44"/>
    <s v="Female"/>
    <s v="Mumbai"/>
    <s v="Laptop"/>
    <s v="Electronics"/>
    <n v="1"/>
    <n v="18229"/>
    <n v="18229"/>
  </r>
  <r>
    <s v="ORD100591"/>
    <x v="282"/>
    <s v="CUST9489"/>
    <s v="Customer_385"/>
    <n v="61"/>
    <s v="Male"/>
    <s v="Delhi"/>
    <s v="Book"/>
    <s v="Education"/>
    <n v="2"/>
    <n v="14656.73"/>
    <n v="29313.46"/>
  </r>
  <r>
    <s v="ORD100592"/>
    <x v="242"/>
    <s v="CUST7226"/>
    <s v="Customer_421"/>
    <n v="51"/>
    <s v="Male"/>
    <s v="Mumbai"/>
    <s v="Mobile"/>
    <s v="Electronics"/>
    <n v="3"/>
    <n v="1286.3599999999999"/>
    <n v="3859.08"/>
  </r>
  <r>
    <s v="ORD100593"/>
    <x v="283"/>
    <s v="CUST1840"/>
    <s v="Customer_90"/>
    <n v="43"/>
    <s v="Female"/>
    <s v="Kolkata"/>
    <s v="Laptop"/>
    <s v="Electronics"/>
    <n v="2"/>
    <n v="11893.8"/>
    <n v="23787.599999999999"/>
  </r>
  <r>
    <s v="ORD100594"/>
    <x v="133"/>
    <s v="CUST9449"/>
    <s v="Customer_178"/>
    <n v="49"/>
    <s v="Female"/>
    <s v="Mumbai"/>
    <s v="Shoes"/>
    <s v="Fashion"/>
    <n v="2"/>
    <n v="11967.47"/>
    <n v="23934.94"/>
  </r>
  <r>
    <s v="ORD100595"/>
    <x v="253"/>
    <s v="CUST3537"/>
    <s v="Customer_377"/>
    <n v="24"/>
    <s v="Female"/>
    <s v="Pune"/>
    <s v="Chair"/>
    <s v="Furniture"/>
    <n v="4"/>
    <n v="35411.730000000003"/>
    <n v="141646.92000000001"/>
  </r>
  <r>
    <s v="ORD100596"/>
    <x v="277"/>
    <s v="CUST4041"/>
    <s v="Customer_394"/>
    <n v="30"/>
    <s v="Female"/>
    <s v="Delhi"/>
    <s v="Rice"/>
    <s v="Grocery"/>
    <n v="1"/>
    <n v="15515.24"/>
    <n v="15515.24"/>
  </r>
  <r>
    <s v="ORD100597"/>
    <x v="11"/>
    <s v="CUST4417"/>
    <s v="Customer_234"/>
    <n v="52"/>
    <s v="Male"/>
    <s v="Mumbai"/>
    <s v="Mobile"/>
    <s v="Electronics"/>
    <n v="9"/>
    <n v="697.87"/>
    <n v="6280.83"/>
  </r>
  <r>
    <s v="ORD100598"/>
    <x v="284"/>
    <s v="CUST4099"/>
    <s v="Customer_377"/>
    <n v="55"/>
    <s v="Female"/>
    <s v="Delhi"/>
    <s v="Shoes"/>
    <s v="Fashion"/>
    <n v="10"/>
    <n v="20857.23"/>
    <n v="208572.3"/>
  </r>
  <r>
    <s v="ORD100599"/>
    <x v="285"/>
    <s v="CUST3107"/>
    <s v="Customer_99"/>
    <n v="21"/>
    <s v="Female"/>
    <s v="Kolkata"/>
    <s v="Mobile"/>
    <s v="Electronics"/>
    <n v="8"/>
    <n v="3595.82"/>
    <n v="28766.560000000001"/>
  </r>
  <r>
    <s v="ORD100050"/>
    <x v="286"/>
    <s v="CUST8859"/>
    <s v="Customer_53"/>
    <m/>
    <s v="Male"/>
    <m/>
    <s v="Laptop"/>
    <s v="Electronics"/>
    <n v="7"/>
    <n v="20144.84"/>
    <n v="141013.88"/>
  </r>
  <r>
    <s v="ORD100601"/>
    <x v="175"/>
    <s v="CUST9111"/>
    <s v="Customer_235"/>
    <n v="61"/>
    <s v="Female"/>
    <s v="Kolkata"/>
    <s v="Shoes"/>
    <s v="Fashion"/>
    <n v="5"/>
    <n v="30620.75"/>
    <n v="153103.75"/>
  </r>
  <r>
    <s v="ORD100602"/>
    <x v="165"/>
    <s v="CUST8813"/>
    <s v="Customer_83"/>
    <n v="54"/>
    <s v="Male"/>
    <s v="Bengaluru"/>
    <s v="Laptop"/>
    <s v="Electronics"/>
    <n v="9"/>
    <n v="38955.26"/>
    <n v="350597.34"/>
  </r>
  <r>
    <s v="ORD100603"/>
    <x v="284"/>
    <s v="CUST7221"/>
    <s v="Customer_478"/>
    <n v="39"/>
    <s v="Male"/>
    <s v="Gaya"/>
    <s v="Laptop"/>
    <s v="Electronics"/>
    <n v="2"/>
    <n v="7534.68"/>
    <n v="15069.36"/>
  </r>
  <r>
    <s v="ORD100604"/>
    <x v="199"/>
    <s v="CUST5899"/>
    <s v="Customer_500"/>
    <n v="31"/>
    <s v="Female"/>
    <s v="Gaya"/>
    <s v="Laptop"/>
    <s v="Electronics"/>
    <n v="4"/>
    <n v="5789.5"/>
    <n v="23158"/>
  </r>
  <r>
    <s v="ORD100605"/>
    <x v="287"/>
    <s v="CUST4483"/>
    <s v="Customer_109"/>
    <n v="63"/>
    <s v="Female"/>
    <s v="Patna"/>
    <s v="Book"/>
    <s v="Education"/>
    <n v="8"/>
    <n v="46278.59"/>
    <n v="370228.72"/>
  </r>
  <r>
    <s v="ORD100606"/>
    <x v="34"/>
    <s v="CUST4438"/>
    <s v="Customer_133"/>
    <n v="56"/>
    <s v="Female"/>
    <s v="Kolkata"/>
    <s v="Chair"/>
    <s v="Furniture"/>
    <n v="2"/>
    <n v="14770.13"/>
    <n v="29540.26"/>
  </r>
  <r>
    <s v="ORD100607"/>
    <x v="64"/>
    <s v="CUST9123"/>
    <s v="Customer_395"/>
    <n v="27"/>
    <s v="Female"/>
    <s v="Mumbai"/>
    <s v="Rice"/>
    <s v="Grocery"/>
    <n v="6"/>
    <n v="45095.75"/>
    <n v="270574.5"/>
  </r>
  <r>
    <s v="ORD100608"/>
    <x v="124"/>
    <s v="CUST2364"/>
    <s v="Customer_290"/>
    <n v="34"/>
    <s v="Female"/>
    <s v="Hyderabad"/>
    <s v="Rice"/>
    <s v="Grocery"/>
    <n v="8"/>
    <n v="10393.69"/>
    <n v="83149.52"/>
  </r>
  <r>
    <s v="ORD100609"/>
    <x v="34"/>
    <s v="CUST6314"/>
    <s v="Customer_66"/>
    <n v="19"/>
    <s v="Female"/>
    <s v="Gaya"/>
    <s v="Rice"/>
    <s v="Grocery"/>
    <n v="4"/>
    <n v="38952.78"/>
    <n v="155811.12"/>
  </r>
  <r>
    <s v="ORD100610"/>
    <x v="21"/>
    <s v="CUST8128"/>
    <s v="Customer_101"/>
    <n v="48"/>
    <s v="Male"/>
    <s v="Kolkata"/>
    <s v="Laptop"/>
    <s v="Electronics"/>
    <n v="5"/>
    <n v="3414.17"/>
    <n v="17070.849999999999"/>
  </r>
  <r>
    <s v="ORD100611"/>
    <x v="288"/>
    <s v="CUST8583"/>
    <s v="Customer_290"/>
    <n v="37"/>
    <s v="Female"/>
    <s v="Delhi"/>
    <s v="Laptop"/>
    <s v="Electronics"/>
    <n v="7"/>
    <n v="5129.0200000000004"/>
    <n v="35903.14"/>
  </r>
  <r>
    <s v="ORD100612"/>
    <x v="289"/>
    <s v="CUST4488"/>
    <s v="Customer_414"/>
    <n v="39"/>
    <s v="Female"/>
    <s v="Kolkata"/>
    <s v="Mobile"/>
    <s v="Electronics"/>
    <n v="3"/>
    <n v="15846.45"/>
    <n v="47539.35"/>
  </r>
  <r>
    <s v="ORD100613"/>
    <x v="290"/>
    <s v="CUST5178"/>
    <s v="Customer_170"/>
    <n v="23"/>
    <s v="Male"/>
    <s v="Mumbai"/>
    <s v="Book"/>
    <s v="Education"/>
    <n v="4"/>
    <n v="27448.01"/>
    <n v="109792.04"/>
  </r>
  <r>
    <s v="ORD100614"/>
    <x v="11"/>
    <s v="CUST9217"/>
    <s v="Customer_448"/>
    <n v="39"/>
    <s v="Female"/>
    <s v="Delhi"/>
    <s v="Book"/>
    <s v="Education"/>
    <n v="4"/>
    <n v="5518.35"/>
    <n v="22073.4"/>
  </r>
  <r>
    <s v="ORD100615"/>
    <x v="217"/>
    <s v="CUST4150"/>
    <s v="Customer_415"/>
    <n v="31"/>
    <s v="Female"/>
    <s v="Delhi"/>
    <s v="Book"/>
    <s v="Education"/>
    <n v="9"/>
    <n v="39988.019999999997"/>
    <n v="359892.18"/>
  </r>
  <r>
    <s v="ORD100616"/>
    <x v="272"/>
    <s v="CUST3751"/>
    <s v="Customer_270"/>
    <n v="36"/>
    <s v="Male"/>
    <s v="Bengaluru"/>
    <s v="Shoes"/>
    <s v="Fashion"/>
    <n v="3"/>
    <n v="23079.96"/>
    <n v="69239.88"/>
  </r>
  <r>
    <s v="ORD100617"/>
    <x v="140"/>
    <s v="CUST1991"/>
    <s v="Customer_359"/>
    <n v="41"/>
    <s v="Female"/>
    <s v="Kolkata"/>
    <s v="Book"/>
    <s v="Education"/>
    <n v="9"/>
    <n v="14044.67"/>
    <n v="126402.03"/>
  </r>
  <r>
    <s v="ORD100618"/>
    <x v="291"/>
    <s v="CUST8124"/>
    <s v="Customer_344"/>
    <n v="33"/>
    <s v="Female"/>
    <s v="Pune"/>
    <s v="Shoes"/>
    <s v="Fashion"/>
    <n v="2"/>
    <n v="43693.36"/>
    <n v="87386.72"/>
  </r>
  <r>
    <s v="ORD100619"/>
    <x v="79"/>
    <s v="CUST6678"/>
    <s v="Customer_241"/>
    <n v="41"/>
    <s v="Male"/>
    <s v="Kolkata"/>
    <s v="Rice"/>
    <s v="Grocery"/>
    <n v="2"/>
    <n v="14181.47"/>
    <n v="28362.94"/>
  </r>
  <r>
    <s v="ORD100620"/>
    <x v="292"/>
    <s v="CUST8268"/>
    <s v="Customer_18"/>
    <n v="47"/>
    <s v="Female"/>
    <s v="Kolkata"/>
    <s v="Shoes"/>
    <s v="Fashion"/>
    <n v="4"/>
    <n v="28783.13"/>
    <n v="115132.52"/>
  </r>
  <r>
    <s v="ORD100621"/>
    <x v="262"/>
    <s v="CUST1835"/>
    <s v="Customer_81"/>
    <n v="61"/>
    <s v="Female"/>
    <s v="Gaya"/>
    <s v="Chair"/>
    <s v="Furniture"/>
    <n v="2"/>
    <n v="32432.65"/>
    <n v="64865.3"/>
  </r>
  <r>
    <s v="ORD100622"/>
    <x v="43"/>
    <s v="CUST3497"/>
    <s v="Customer_408"/>
    <n v="57"/>
    <s v="Male"/>
    <s v="Patna"/>
    <s v="Laptop"/>
    <s v="Electronics"/>
    <n v="4"/>
    <n v="29976.58"/>
    <n v="119906.32"/>
  </r>
  <r>
    <s v="ORD100623"/>
    <x v="88"/>
    <s v="CUST1452"/>
    <s v="Customer_68"/>
    <n v="62"/>
    <s v="Female"/>
    <s v="Hyderabad"/>
    <s v="Shoes"/>
    <s v="Fashion"/>
    <n v="7"/>
    <n v="38029.64"/>
    <n v="266207.48"/>
  </r>
  <r>
    <s v="ORD100624"/>
    <x v="141"/>
    <s v="CUST7416"/>
    <s v="Customer_191"/>
    <n v="54"/>
    <s v="Female"/>
    <s v="Hyderabad"/>
    <s v="Rice"/>
    <s v="Grocery"/>
    <n v="10"/>
    <n v="48255.19"/>
    <n v="482551.9"/>
  </r>
  <r>
    <s v="ORD100625"/>
    <x v="66"/>
    <s v="CUST4137"/>
    <s v="Customer_51"/>
    <n v="46"/>
    <s v="Male"/>
    <s v="Mumbai"/>
    <s v="Laptop"/>
    <s v="Electronics"/>
    <n v="9"/>
    <n v="27971.17"/>
    <n v="251740.53"/>
  </r>
  <r>
    <s v="ORD100626"/>
    <x v="184"/>
    <s v="CUST8649"/>
    <s v="Customer_160"/>
    <n v="30"/>
    <s v="Male"/>
    <s v="Gaya"/>
    <s v="Rice"/>
    <s v="Grocery"/>
    <n v="9"/>
    <n v="46756.46"/>
    <n v="420808.14"/>
  </r>
  <r>
    <s v="ORD100627"/>
    <x v="250"/>
    <s v="CUST7361"/>
    <s v="Customer_159"/>
    <n v="20"/>
    <s v="Male"/>
    <s v="Hyderabad"/>
    <s v="Laptop"/>
    <s v="Electronics"/>
    <n v="3"/>
    <n v="47466.18"/>
    <n v="142398.54"/>
  </r>
  <r>
    <s v="ORD100628"/>
    <x v="104"/>
    <s v="CUST9567"/>
    <s v="Customer_218"/>
    <n v="38"/>
    <s v="Male"/>
    <s v="Delhi"/>
    <s v="Shoes"/>
    <s v="Fashion"/>
    <n v="1"/>
    <n v="33193.9"/>
    <n v="33193.9"/>
  </r>
  <r>
    <s v="ORD100629"/>
    <x v="59"/>
    <s v="CUST6432"/>
    <s v="Customer_194"/>
    <n v="62"/>
    <s v="Male"/>
    <s v="Mumbai"/>
    <s v="Book"/>
    <s v="Education"/>
    <n v="1"/>
    <n v="46021.88"/>
    <n v="46021.88"/>
  </r>
  <r>
    <s v="ORD100630"/>
    <x v="13"/>
    <s v="CUST4934"/>
    <s v="Customer_25"/>
    <n v="41"/>
    <s v="Male"/>
    <s v="Bengaluru"/>
    <s v="Rice"/>
    <s v="Grocery"/>
    <n v="7"/>
    <n v="45512.65"/>
    <n v="318588.55"/>
  </r>
  <r>
    <s v="ORD100631"/>
    <x v="96"/>
    <s v="CUST6845"/>
    <s v="Customer_337"/>
    <n v="34"/>
    <s v="Male"/>
    <s v="Hyderabad"/>
    <s v="Chair"/>
    <s v="Furniture"/>
    <n v="9"/>
    <n v="46924.58"/>
    <n v="422321.22"/>
  </r>
  <r>
    <s v="ORD100632"/>
    <x v="197"/>
    <s v="CUST1252"/>
    <s v="Customer_81"/>
    <n v="24"/>
    <s v="Male"/>
    <s v="Pune"/>
    <s v="Shoes"/>
    <s v="Fashion"/>
    <n v="3"/>
    <n v="37343.19"/>
    <n v="112029.57"/>
  </r>
  <r>
    <s v="ORD100633"/>
    <x v="205"/>
    <s v="CUST1994"/>
    <s v="Customer_408"/>
    <n v="27"/>
    <s v="Female"/>
    <s v="Patna"/>
    <s v="Chair"/>
    <s v="Furniture"/>
    <n v="10"/>
    <n v="14175.96"/>
    <n v="141759.6"/>
  </r>
  <r>
    <s v="ORD100634"/>
    <x v="222"/>
    <s v="CUST9488"/>
    <s v="Customer_147"/>
    <n v="37"/>
    <s v="Male"/>
    <s v="Pune"/>
    <s v="Shoes"/>
    <s v="Fashion"/>
    <n v="8"/>
    <n v="7259.89"/>
    <n v="58079.12"/>
  </r>
  <r>
    <s v="ORD100635"/>
    <x v="4"/>
    <s v="CUST9421"/>
    <s v="Customer_213"/>
    <n v="58"/>
    <s v="Male"/>
    <s v="Patna"/>
    <s v="Chair"/>
    <s v="Furniture"/>
    <n v="3"/>
    <n v="257.27999999999997"/>
    <n v="771.84"/>
  </r>
  <r>
    <s v="ORD100636"/>
    <x v="135"/>
    <s v="CUST4810"/>
    <s v="Customer_416"/>
    <n v="18"/>
    <s v="Male"/>
    <s v="Kolkata"/>
    <s v="Shoes"/>
    <s v="Fashion"/>
    <n v="4"/>
    <n v="24291.82"/>
    <n v="97167.28"/>
  </r>
  <r>
    <s v="ORD100637"/>
    <x v="110"/>
    <s v="CUST1106"/>
    <s v="Customer_135"/>
    <n v="31"/>
    <s v="Male"/>
    <s v="Patna"/>
    <s v="Rice"/>
    <s v="Grocery"/>
    <n v="2"/>
    <n v="25919.18"/>
    <n v="51838.36"/>
  </r>
  <r>
    <s v="ORD100638"/>
    <x v="100"/>
    <s v="CUST9693"/>
    <s v="Customer_267"/>
    <n v="19"/>
    <s v="Male"/>
    <s v="Bengaluru"/>
    <s v="Rice"/>
    <s v="Grocery"/>
    <n v="4"/>
    <n v="24382.42"/>
    <n v="97529.68"/>
  </r>
  <r>
    <s v="ORD100639"/>
    <x v="293"/>
    <s v="CUST3004"/>
    <s v="Customer_162"/>
    <n v="46"/>
    <s v="Female"/>
    <s v="Pune"/>
    <s v="Shoes"/>
    <s v="Fashion"/>
    <n v="1"/>
    <n v="3971.35"/>
    <n v="3971.35"/>
  </r>
  <r>
    <s v="ORD100640"/>
    <x v="294"/>
    <s v="CUST6421"/>
    <s v="Customer_218"/>
    <n v="22"/>
    <s v="Male"/>
    <s v="Gaya"/>
    <s v="Laptop"/>
    <s v="Electronics"/>
    <n v="5"/>
    <n v="7739.33"/>
    <n v="38696.65"/>
  </r>
  <r>
    <s v="ORD100641"/>
    <x v="234"/>
    <s v="CUST6345"/>
    <s v="Customer_214"/>
    <n v="32"/>
    <s v="Female"/>
    <s v="Delhi"/>
    <s v="Book"/>
    <s v="Education"/>
    <n v="1"/>
    <n v="34302.92"/>
    <n v="34302.92"/>
  </r>
  <r>
    <s v="ORD100642"/>
    <x v="16"/>
    <s v="CUST9384"/>
    <s v="Customer_230"/>
    <n v="28"/>
    <s v="Female"/>
    <s v="Mumbai"/>
    <s v="Rice"/>
    <s v="Grocery"/>
    <n v="1"/>
    <n v="20626.25"/>
    <n v="20626.25"/>
  </r>
  <r>
    <s v="ORD100643"/>
    <x v="239"/>
    <s v="CUST9081"/>
    <s v="Customer_244"/>
    <n v="63"/>
    <s v="Female"/>
    <s v="Mumbai"/>
    <s v="Laptop"/>
    <s v="Electronics"/>
    <n v="9"/>
    <n v="39545.61"/>
    <n v="355910.49"/>
  </r>
  <r>
    <s v="ORD100644"/>
    <x v="94"/>
    <s v="CUST6589"/>
    <s v="Customer_367"/>
    <n v="30"/>
    <s v="Male"/>
    <s v="Kolkata"/>
    <s v="Chair"/>
    <s v="Furniture"/>
    <n v="3"/>
    <n v="23490.33"/>
    <n v="70470.990000000005"/>
  </r>
  <r>
    <s v="ORD100645"/>
    <x v="170"/>
    <s v="CUST7844"/>
    <s v="Customer_469"/>
    <n v="53"/>
    <s v="Male"/>
    <s v="Patna"/>
    <s v="Chair"/>
    <s v="Furniture"/>
    <n v="6"/>
    <n v="22343.439999999999"/>
    <n v="134060.64000000001"/>
  </r>
  <r>
    <s v="ORD100646"/>
    <x v="295"/>
    <s v="CUST4673"/>
    <s v="Customer_386"/>
    <n v="42"/>
    <s v="Female"/>
    <s v="Delhi"/>
    <s v="Shoes"/>
    <s v="Fashion"/>
    <n v="5"/>
    <n v="16279.37"/>
    <n v="81396.850000000006"/>
  </r>
  <r>
    <s v="ORD100647"/>
    <x v="269"/>
    <s v="CUST7504"/>
    <s v="Customer_183"/>
    <n v="52"/>
    <s v="Male"/>
    <s v="Pune"/>
    <s v="Laptop"/>
    <s v="Electronics"/>
    <n v="4"/>
    <n v="26566.32"/>
    <n v="106265.28"/>
  </r>
  <r>
    <s v="ORD100648"/>
    <x v="48"/>
    <s v="CUST6921"/>
    <s v="Customer_68"/>
    <n v="62"/>
    <s v="Female"/>
    <s v="Patna"/>
    <s v="Mobile"/>
    <s v="Electronics"/>
    <n v="6"/>
    <n v="1867.81"/>
    <n v="11206.86"/>
  </r>
  <r>
    <s v="ORD100649"/>
    <x v="75"/>
    <s v="CUST4109"/>
    <s v="Customer_31"/>
    <n v="53"/>
    <s v="Female"/>
    <s v="Delhi"/>
    <s v="Rice"/>
    <s v="Grocery"/>
    <n v="10"/>
    <n v="22106.78"/>
    <n v="221067.8"/>
  </r>
  <r>
    <s v="ORD100650"/>
    <x v="40"/>
    <s v="CUST2181"/>
    <s v="Customer_125"/>
    <m/>
    <s v="Female"/>
    <s v="Bengaluru"/>
    <s v="Rice"/>
    <s v="Grocery"/>
    <n v="3"/>
    <n v="7467.04"/>
    <n v="22401.119999999999"/>
  </r>
  <r>
    <s v="ORD100651"/>
    <x v="296"/>
    <s v="CUST8708"/>
    <s v="Customer_293"/>
    <n v="59"/>
    <s v="Male"/>
    <s v="Kolkata"/>
    <s v="Laptop"/>
    <s v="Electronics"/>
    <n v="7"/>
    <n v="27547.81"/>
    <n v="192834.67"/>
  </r>
  <r>
    <s v="ORD100652"/>
    <x v="209"/>
    <s v="CUST7219"/>
    <s v="Customer_391"/>
    <n v="30"/>
    <s v="Male"/>
    <s v="Pune"/>
    <s v="Book"/>
    <s v="Education"/>
    <n v="10"/>
    <n v="22952.77"/>
    <n v="229527.7"/>
  </r>
  <r>
    <s v="ORD100653"/>
    <x v="37"/>
    <s v="CUST5516"/>
    <s v="Customer_343"/>
    <n v="21"/>
    <s v="Male"/>
    <s v="Kolkata"/>
    <s v="Rice"/>
    <s v="Grocery"/>
    <n v="6"/>
    <n v="35222.230000000003"/>
    <n v="211333.38"/>
  </r>
  <r>
    <s v="ORD100654"/>
    <x v="168"/>
    <s v="CUST9562"/>
    <s v="Customer_162"/>
    <n v="39"/>
    <s v="Male"/>
    <s v="Mumbai"/>
    <s v="Chair"/>
    <s v="Furniture"/>
    <n v="8"/>
    <n v="16240.66"/>
    <n v="129925.28"/>
  </r>
  <r>
    <s v="ORD100655"/>
    <x v="25"/>
    <s v="CUST8347"/>
    <s v="Customer_236"/>
    <n v="55"/>
    <s v="Male"/>
    <s v="Hyderabad"/>
    <s v="Book"/>
    <s v="Education"/>
    <n v="1"/>
    <n v="12255.87"/>
    <n v="12255.87"/>
  </r>
  <r>
    <s v="ORD100656"/>
    <x v="180"/>
    <s v="CUST3567"/>
    <s v="Customer_407"/>
    <n v="21"/>
    <s v="Male"/>
    <s v="Bengaluru"/>
    <s v="Chair"/>
    <s v="Furniture"/>
    <n v="7"/>
    <n v="42941.88"/>
    <n v="300593.15999999997"/>
  </r>
  <r>
    <s v="ORD100657"/>
    <x v="297"/>
    <s v="CUST8110"/>
    <s v="Customer_268"/>
    <n v="54"/>
    <s v="Male"/>
    <s v="Delhi"/>
    <s v="Laptop"/>
    <s v="Electronics"/>
    <n v="10"/>
    <n v="10307.48"/>
    <n v="103074.8"/>
  </r>
  <r>
    <s v="ORD100658"/>
    <x v="1"/>
    <s v="CUST4584"/>
    <s v="Customer_138"/>
    <n v="18"/>
    <s v="Female"/>
    <s v="Pune"/>
    <s v="Shoes"/>
    <s v="Fashion"/>
    <n v="10"/>
    <n v="46270.13"/>
    <n v="462701.3"/>
  </r>
  <r>
    <s v="ORD100659"/>
    <x v="44"/>
    <s v="CUST4537"/>
    <s v="Customer_9"/>
    <n v="63"/>
    <s v="Male"/>
    <s v="Gaya"/>
    <s v="Book"/>
    <s v="Education"/>
    <n v="5"/>
    <n v="33524.03"/>
    <n v="167620.15"/>
  </r>
  <r>
    <s v="ORD100660"/>
    <x v="159"/>
    <s v="CUST5154"/>
    <s v="Customer_453"/>
    <n v="20"/>
    <s v="Male"/>
    <s v="Mumbai"/>
    <s v="Book"/>
    <s v="Education"/>
    <n v="2"/>
    <n v="38065.839999999997"/>
    <n v="76131.679999999993"/>
  </r>
  <r>
    <s v="ORD100661"/>
    <x v="121"/>
    <s v="CUST9614"/>
    <s v="Customer_235"/>
    <n v="23"/>
    <s v="Male"/>
    <s v="Bengaluru"/>
    <s v="Shoes"/>
    <s v="Fashion"/>
    <n v="10"/>
    <n v="8465.6200000000008"/>
    <n v="84656.2"/>
  </r>
  <r>
    <s v="ORD100662"/>
    <x v="119"/>
    <s v="CUST8300"/>
    <s v="Customer_242"/>
    <n v="44"/>
    <s v="Female"/>
    <s v="Hyderabad"/>
    <s v="Rice"/>
    <s v="Grocery"/>
    <n v="9"/>
    <n v="1610.18"/>
    <n v="14491.62"/>
  </r>
  <r>
    <s v="ORD100663"/>
    <x v="205"/>
    <s v="CUST1673"/>
    <s v="Customer_103"/>
    <n v="18"/>
    <s v="Male"/>
    <s v="Gaya"/>
    <s v="Rice"/>
    <s v="Grocery"/>
    <n v="5"/>
    <n v="35120.83"/>
    <n v="175604.15"/>
  </r>
  <r>
    <s v="ORD100664"/>
    <x v="50"/>
    <s v="CUST7016"/>
    <s v="Customer_88"/>
    <n v="33"/>
    <s v="Female"/>
    <s v="Pune"/>
    <s v="Chair"/>
    <s v="Furniture"/>
    <n v="6"/>
    <n v="30775.74"/>
    <n v="184654.44"/>
  </r>
  <r>
    <s v="ORD100665"/>
    <x v="41"/>
    <s v="CUST2672"/>
    <s v="Customer_324"/>
    <n v="27"/>
    <s v="Female"/>
    <s v="Pune"/>
    <s v="Laptop"/>
    <s v="Electronics"/>
    <n v="4"/>
    <n v="47796.53"/>
    <n v="191186.12"/>
  </r>
  <r>
    <s v="ORD100666"/>
    <x v="81"/>
    <s v="CUST3237"/>
    <s v="Customer_341"/>
    <n v="48"/>
    <s v="Female"/>
    <s v="Kolkata"/>
    <s v="Rice"/>
    <s v="Grocery"/>
    <n v="7"/>
    <n v="38583.879999999997"/>
    <n v="270087.15999999997"/>
  </r>
  <r>
    <s v="ORD100667"/>
    <x v="197"/>
    <s v="CUST2794"/>
    <s v="Customer_219"/>
    <n v="39"/>
    <s v="Male"/>
    <s v="Mumbai"/>
    <s v="Laptop"/>
    <s v="Electronics"/>
    <n v="6"/>
    <n v="38368.410000000003"/>
    <n v="230210.46"/>
  </r>
  <r>
    <s v="ORD100668"/>
    <x v="254"/>
    <s v="CUST6684"/>
    <s v="Customer_426"/>
    <n v="59"/>
    <s v="Male"/>
    <s v="Bengaluru"/>
    <s v="Chair"/>
    <s v="Furniture"/>
    <n v="4"/>
    <n v="48299.85"/>
    <n v="193199.4"/>
  </r>
  <r>
    <s v="ORD100669"/>
    <x v="298"/>
    <s v="CUST3321"/>
    <s v="Customer_151"/>
    <n v="20"/>
    <s v="Female"/>
    <s v="Bengaluru"/>
    <s v="Laptop"/>
    <s v="Electronics"/>
    <n v="9"/>
    <n v="6889.29"/>
    <n v="62003.61"/>
  </r>
  <r>
    <s v="ORD100670"/>
    <x v="299"/>
    <s v="CUST2904"/>
    <s v="Customer_269"/>
    <n v="60"/>
    <s v="Female"/>
    <s v="Bengaluru"/>
    <s v="Shoes"/>
    <s v="Fashion"/>
    <n v="10"/>
    <n v="41268.06"/>
    <n v="412680.6"/>
  </r>
  <r>
    <s v="ORD100671"/>
    <x v="216"/>
    <s v="CUST1681"/>
    <s v="Customer_160"/>
    <n v="60"/>
    <s v="Male"/>
    <s v="Delhi"/>
    <s v="Shoes"/>
    <s v="Fashion"/>
    <n v="5"/>
    <n v="28065.77"/>
    <n v="140328.85"/>
  </r>
  <r>
    <s v="ORD100672"/>
    <x v="102"/>
    <s v="CUST7863"/>
    <s v="Customer_316"/>
    <n v="37"/>
    <s v="Female"/>
    <s v="Gaya"/>
    <s v="Chair"/>
    <s v="Furniture"/>
    <n v="8"/>
    <n v="25269.25"/>
    <n v="202154"/>
  </r>
  <r>
    <s v="ORD100673"/>
    <x v="248"/>
    <s v="CUST2218"/>
    <s v="Customer_392"/>
    <n v="57"/>
    <s v="Male"/>
    <s v="Delhi"/>
    <s v="Chair"/>
    <s v="Furniture"/>
    <n v="2"/>
    <n v="31615.64"/>
    <n v="63231.28"/>
  </r>
  <r>
    <s v="ORD100674"/>
    <x v="238"/>
    <s v="CUST6288"/>
    <s v="Customer_407"/>
    <n v="55"/>
    <s v="Male"/>
    <s v="Kolkata"/>
    <s v="Mobile"/>
    <s v="Electronics"/>
    <n v="1"/>
    <n v="17212.990000000002"/>
    <n v="17212.990000000002"/>
  </r>
  <r>
    <s v="ORD100675"/>
    <x v="4"/>
    <s v="CUST8502"/>
    <s v="Customer_220"/>
    <n v="47"/>
    <s v="Male"/>
    <m/>
    <s v="Laptop"/>
    <s v="Electronics"/>
    <n v="1"/>
    <n v="14756.18"/>
    <n v="14756.18"/>
  </r>
  <r>
    <s v="ORD100676"/>
    <x v="30"/>
    <s v="CUST1433"/>
    <s v="Customer_391"/>
    <n v="47"/>
    <s v="Female"/>
    <s v="Mumbai"/>
    <s v="Shoes"/>
    <s v="Fashion"/>
    <n v="5"/>
    <n v="21694.12"/>
    <n v="108470.6"/>
  </r>
  <r>
    <s v="ORD100677"/>
    <x v="243"/>
    <s v="CUST4997"/>
    <s v="Customer_371"/>
    <n v="31"/>
    <s v="Male"/>
    <s v="Hyderabad"/>
    <s v="Book"/>
    <s v="Education"/>
    <n v="8"/>
    <n v="5632.88"/>
    <n v="45063.040000000001"/>
  </r>
  <r>
    <s v="ORD100678"/>
    <x v="25"/>
    <s v="CUST2827"/>
    <s v="Customer_287"/>
    <n v="35"/>
    <s v="Male"/>
    <s v="Hyderabad"/>
    <s v="Book"/>
    <s v="Education"/>
    <n v="5"/>
    <n v="16961.150000000001"/>
    <n v="84805.75"/>
  </r>
  <r>
    <s v="ORD100679"/>
    <x v="112"/>
    <s v="CUST4559"/>
    <s v="Customer_466"/>
    <n v="57"/>
    <s v="Female"/>
    <s v="Bengaluru"/>
    <s v="Mobile"/>
    <s v="Electronics"/>
    <n v="3"/>
    <n v="17500.41"/>
    <n v="52501.23"/>
  </r>
  <r>
    <s v="ORD100680"/>
    <x v="41"/>
    <s v="CUST7093"/>
    <s v="Customer_174"/>
    <n v="23"/>
    <s v="Male"/>
    <s v="Mumbai"/>
    <s v="Chair"/>
    <s v="Furniture"/>
    <n v="5"/>
    <n v="47401.02"/>
    <n v="237005.1"/>
  </r>
  <r>
    <s v="ORD100681"/>
    <x v="50"/>
    <s v="CUST8364"/>
    <s v="Customer_325"/>
    <n v="21"/>
    <s v="Male"/>
    <s v="Hyderabad"/>
    <s v="Mobile"/>
    <s v="Electronics"/>
    <n v="7"/>
    <n v="12194.92"/>
    <n v="85364.44"/>
  </r>
  <r>
    <s v="ORD100682"/>
    <x v="129"/>
    <s v="CUST3285"/>
    <s v="Customer_232"/>
    <n v="30"/>
    <s v="Female"/>
    <s v="Mumbai"/>
    <s v="Mobile"/>
    <s v="Electronics"/>
    <n v="8"/>
    <n v="49052.97"/>
    <n v="392423.76"/>
  </r>
  <r>
    <s v="ORD100683"/>
    <x v="175"/>
    <s v="CUST1104"/>
    <s v="Customer_328"/>
    <n v="64"/>
    <s v="Female"/>
    <s v="Hyderabad"/>
    <s v="Book"/>
    <s v="Education"/>
    <n v="4"/>
    <n v="22686.59"/>
    <n v="90746.36"/>
  </r>
  <r>
    <s v="ORD100684"/>
    <x v="122"/>
    <s v="CUST5155"/>
    <s v="Customer_165"/>
    <n v="57"/>
    <s v="Male"/>
    <s v="Bengaluru"/>
    <s v="Laptop"/>
    <s v="Electronics"/>
    <n v="5"/>
    <n v="34508.6"/>
    <n v="172543"/>
  </r>
  <r>
    <s v="ORD100685"/>
    <x v="76"/>
    <s v="CUST6082"/>
    <s v="Customer_105"/>
    <n v="53"/>
    <s v="Female"/>
    <s v="Mumbai"/>
    <s v="Laptop"/>
    <s v="Electronics"/>
    <n v="7"/>
    <n v="21599.35"/>
    <n v="151195.45000000001"/>
  </r>
  <r>
    <s v="ORD100686"/>
    <x v="118"/>
    <s v="CUST3966"/>
    <s v="Customer_338"/>
    <n v="47"/>
    <s v="Female"/>
    <s v="Hyderabad"/>
    <s v="Chair"/>
    <s v="Furniture"/>
    <n v="4"/>
    <n v="30019.56"/>
    <n v="120078.24"/>
  </r>
  <r>
    <s v="ORD100687"/>
    <x v="300"/>
    <s v="CUST2093"/>
    <s v="Customer_428"/>
    <n v="38"/>
    <s v="Female"/>
    <s v="Mumbai"/>
    <s v="Laptop"/>
    <s v="Electronics"/>
    <n v="5"/>
    <n v="24358.21"/>
    <n v="121791.05"/>
  </r>
  <r>
    <s v="ORD100688"/>
    <x v="5"/>
    <s v="CUST9957"/>
    <s v="Customer_116"/>
    <n v="29"/>
    <s v="Female"/>
    <s v="Pune"/>
    <s v="Chair"/>
    <s v="Furniture"/>
    <n v="6"/>
    <n v="16639.759999999998"/>
    <n v="99838.56"/>
  </r>
  <r>
    <s v="ORD100689"/>
    <x v="301"/>
    <s v="CUST3682"/>
    <s v="Customer_132"/>
    <n v="56"/>
    <s v="Female"/>
    <s v="Kolkata"/>
    <s v="Book"/>
    <s v="Education"/>
    <n v="3"/>
    <n v="48276.39"/>
    <n v="144829.17000000001"/>
  </r>
  <r>
    <s v="ORD100690"/>
    <x v="33"/>
    <s v="CUST4110"/>
    <s v="Customer_73"/>
    <n v="59"/>
    <s v="Female"/>
    <s v="Kolkata"/>
    <s v="Rice"/>
    <s v="Grocery"/>
    <n v="9"/>
    <n v="40069.01"/>
    <n v="360621.09"/>
  </r>
  <r>
    <s v="ORD100691"/>
    <x v="186"/>
    <s v="CUST2597"/>
    <s v="Customer_354"/>
    <n v="22"/>
    <s v="Male"/>
    <s v="Kolkata"/>
    <s v="Mobile"/>
    <s v="Electronics"/>
    <n v="9"/>
    <n v="31937.15"/>
    <n v="287434.34999999998"/>
  </r>
  <r>
    <s v="ORD100692"/>
    <x v="235"/>
    <s v="CUST8390"/>
    <s v="Customer_297"/>
    <n v="47"/>
    <s v="Female"/>
    <s v="Mumbai"/>
    <s v="Laptop"/>
    <s v="Electronics"/>
    <n v="7"/>
    <n v="40754.69"/>
    <n v="285282.83"/>
  </r>
  <r>
    <s v="ORD100693"/>
    <x v="274"/>
    <s v="CUST4270"/>
    <s v="Customer_266"/>
    <n v="30"/>
    <s v="Male"/>
    <s v="Kolkata"/>
    <s v="Book"/>
    <s v="Education"/>
    <n v="10"/>
    <n v="45877.49"/>
    <n v="458774.9"/>
  </r>
  <r>
    <s v="ORD100694"/>
    <x v="182"/>
    <s v="CUST3138"/>
    <s v="Customer_440"/>
    <n v="30"/>
    <s v="Female"/>
    <s v="Mumbai"/>
    <s v="Rice"/>
    <s v="Grocery"/>
    <n v="5"/>
    <n v="20994.21"/>
    <n v="104971.05"/>
  </r>
  <r>
    <s v="ORD100695"/>
    <x v="15"/>
    <s v="CUST4602"/>
    <s v="Customer_150"/>
    <n v="26"/>
    <s v="Female"/>
    <s v="Pune"/>
    <s v="Chair"/>
    <s v="Furniture"/>
    <n v="2"/>
    <n v="3215.11"/>
    <n v="6430.22"/>
  </r>
  <r>
    <s v="ORD100696"/>
    <x v="302"/>
    <s v="CUST7631"/>
    <s v="Customer_115"/>
    <n v="62"/>
    <s v="Female"/>
    <s v="Gaya"/>
    <s v="Shoes"/>
    <s v="Fashion"/>
    <n v="4"/>
    <n v="26936.34"/>
    <n v="107745.36"/>
  </r>
  <r>
    <s v="ORD100697"/>
    <x v="183"/>
    <s v="CUST8708"/>
    <s v="Customer_462"/>
    <n v="51"/>
    <s v="Female"/>
    <s v="Pune"/>
    <s v="Laptop"/>
    <s v="Electronics"/>
    <n v="9"/>
    <n v="29470.1"/>
    <n v="265230.90000000002"/>
  </r>
  <r>
    <s v="ORD100698"/>
    <x v="105"/>
    <s v="CUST7317"/>
    <s v="Customer_70"/>
    <n v="54"/>
    <s v="Female"/>
    <s v="Delhi"/>
    <s v="Book"/>
    <s v="Education"/>
    <n v="4"/>
    <n v="31076.31"/>
    <n v="124305.24"/>
  </r>
  <r>
    <s v="ORD100699"/>
    <x v="56"/>
    <s v="CUST2644"/>
    <s v="Customer_222"/>
    <n v="24"/>
    <s v="Male"/>
    <s v="Pune"/>
    <s v="Chair"/>
    <s v="Furniture"/>
    <n v="4"/>
    <n v="43864.35"/>
    <n v="175457.4"/>
  </r>
  <r>
    <s v="ORD100700"/>
    <x v="303"/>
    <s v="CUST9674"/>
    <s v="Customer_232"/>
    <m/>
    <s v="Female"/>
    <s v="Mumbai"/>
    <s v="Mobile"/>
    <s v="Electronics"/>
    <n v="9"/>
    <n v="11808.33"/>
    <n v="106274.97"/>
  </r>
  <r>
    <s v="ORD100701"/>
    <x v="74"/>
    <s v="CUST3078"/>
    <s v="Customer_230"/>
    <n v="22"/>
    <s v="Male"/>
    <s v="Gaya"/>
    <s v="Rice"/>
    <s v="Grocery"/>
    <n v="2"/>
    <n v="38128.32"/>
    <n v="76256.639999999999"/>
  </r>
  <r>
    <s v="ORD100702"/>
    <x v="116"/>
    <s v="CUST8962"/>
    <s v="Customer_440"/>
    <n v="30"/>
    <s v="Female"/>
    <s v="Kolkata"/>
    <s v="Book"/>
    <s v="Education"/>
    <n v="9"/>
    <n v="28222.97"/>
    <n v="254006.73"/>
  </r>
  <r>
    <s v="ORD100703"/>
    <x v="228"/>
    <s v="CUST7236"/>
    <s v="Customer_366"/>
    <n v="38"/>
    <s v="Male"/>
    <s v="Gaya"/>
    <s v="Book"/>
    <s v="Education"/>
    <n v="6"/>
    <n v="21720.560000000001"/>
    <n v="130323.36"/>
  </r>
  <r>
    <s v="ORD100704"/>
    <x v="304"/>
    <s v="CUST4420"/>
    <s v="Customer_268"/>
    <n v="38"/>
    <s v="Male"/>
    <s v="Gaya"/>
    <s v="Chair"/>
    <s v="Furniture"/>
    <n v="3"/>
    <n v="4568.6099999999997"/>
    <n v="13705.83"/>
  </r>
  <r>
    <s v="ORD100705"/>
    <x v="305"/>
    <s v="CUST6621"/>
    <s v="Customer_104"/>
    <n v="19"/>
    <s v="Female"/>
    <s v="Mumbai"/>
    <s v="Book"/>
    <s v="Education"/>
    <n v="3"/>
    <n v="11492.49"/>
    <n v="34477.47"/>
  </r>
  <r>
    <s v="ORD100706"/>
    <x v="9"/>
    <s v="CUST8532"/>
    <s v="Customer_323"/>
    <n v="43"/>
    <s v="Female"/>
    <s v="Delhi"/>
    <s v="Chair"/>
    <s v="Furniture"/>
    <n v="3"/>
    <n v="23252.080000000002"/>
    <n v="69756.240000000005"/>
  </r>
  <r>
    <s v="ORD100707"/>
    <x v="149"/>
    <s v="CUST6658"/>
    <s v="Customer_274"/>
    <n v="60"/>
    <s v="Male"/>
    <s v="Patna"/>
    <s v="Book"/>
    <s v="Education"/>
    <n v="9"/>
    <n v="31686.77"/>
    <n v="285180.93"/>
  </r>
  <r>
    <s v="ORD100708"/>
    <x v="306"/>
    <s v="CUST4742"/>
    <s v="Customer_177"/>
    <n v="21"/>
    <s v="Male"/>
    <s v="Kolkata"/>
    <s v="Laptop"/>
    <s v="Electronics"/>
    <n v="2"/>
    <n v="37278.21"/>
    <n v="74556.42"/>
  </r>
  <r>
    <s v="ORD100709"/>
    <x v="307"/>
    <s v="CUST2744"/>
    <s v="Customer_300"/>
    <n v="28"/>
    <s v="Male"/>
    <s v="Bengaluru"/>
    <s v="Laptop"/>
    <s v="Electronics"/>
    <n v="6"/>
    <n v="12680.8"/>
    <n v="76084.800000000003"/>
  </r>
  <r>
    <s v="ORD100710"/>
    <x v="308"/>
    <s v="CUST6870"/>
    <s v="Customer_53"/>
    <n v="51"/>
    <s v="Female"/>
    <s v="Hyderabad"/>
    <s v="Rice"/>
    <s v="Grocery"/>
    <n v="4"/>
    <n v="17704.669999999998"/>
    <n v="70818.679999999993"/>
  </r>
  <r>
    <s v="ORD100711"/>
    <x v="131"/>
    <s v="CUST1175"/>
    <s v="Customer_472"/>
    <n v="20"/>
    <s v="Female"/>
    <s v="Gaya"/>
    <s v="Shoes"/>
    <s v="Fashion"/>
    <n v="5"/>
    <n v="22734.66"/>
    <n v="113673.3"/>
  </r>
  <r>
    <s v="ORD100712"/>
    <x v="96"/>
    <s v="CUST3745"/>
    <s v="Customer_138"/>
    <n v="55"/>
    <s v="Female"/>
    <s v="Hyderabad"/>
    <s v="Laptop"/>
    <s v="Electronics"/>
    <n v="6"/>
    <n v="36277.760000000002"/>
    <n v="217666.56"/>
  </r>
  <r>
    <s v="ORD100713"/>
    <x v="269"/>
    <s v="CUST6638"/>
    <s v="Customer_350"/>
    <n v="45"/>
    <s v="Male"/>
    <s v="Bengaluru"/>
    <s v="Shoes"/>
    <s v="Fashion"/>
    <n v="6"/>
    <n v="27885.58"/>
    <n v="167313.48000000001"/>
  </r>
  <r>
    <s v="ORD100714"/>
    <x v="9"/>
    <s v="CUST4037"/>
    <s v="Customer_205"/>
    <n v="30"/>
    <s v="Male"/>
    <s v="Kolkata"/>
    <s v="Mobile"/>
    <s v="Electronics"/>
    <n v="10"/>
    <n v="47079.86"/>
    <n v="470798.6"/>
  </r>
  <r>
    <s v="ORD100715"/>
    <x v="75"/>
    <s v="CUST8877"/>
    <s v="Customer_105"/>
    <n v="23"/>
    <s v="Female"/>
    <s v="Kolkata"/>
    <s v="Book"/>
    <s v="Education"/>
    <n v="2"/>
    <n v="30201.81"/>
    <n v="60403.62"/>
  </r>
  <r>
    <s v="ORD100716"/>
    <x v="122"/>
    <s v="CUST6096"/>
    <s v="Customer_53"/>
    <n v="51"/>
    <s v="Female"/>
    <s v="Patna"/>
    <s v="Shoes"/>
    <s v="Fashion"/>
    <n v="6"/>
    <n v="32890.28"/>
    <n v="197341.68"/>
  </r>
  <r>
    <s v="ORD100717"/>
    <x v="151"/>
    <s v="CUST7371"/>
    <s v="Customer_463"/>
    <n v="38"/>
    <s v="Female"/>
    <s v="Bengaluru"/>
    <s v="Mobile"/>
    <s v="Electronics"/>
    <n v="1"/>
    <n v="39342.980000000003"/>
    <n v="39342.980000000003"/>
  </r>
  <r>
    <s v="ORD100718"/>
    <x v="47"/>
    <s v="CUST4532"/>
    <s v="Customer_68"/>
    <n v="52"/>
    <s v="Male"/>
    <s v="Pune"/>
    <s v="Shoes"/>
    <s v="Fashion"/>
    <n v="5"/>
    <n v="42114.22"/>
    <n v="210571.1"/>
  </r>
  <r>
    <s v="ORD100719"/>
    <x v="121"/>
    <s v="CUST6697"/>
    <s v="Customer_137"/>
    <n v="26"/>
    <s v="Male"/>
    <s v="Pune"/>
    <s v="Chair"/>
    <s v="Furniture"/>
    <n v="5"/>
    <n v="15011.99"/>
    <n v="75059.95"/>
  </r>
  <r>
    <s v="ORD100050"/>
    <x v="266"/>
    <s v="CUST7824"/>
    <s v="Customer_190"/>
    <n v="31"/>
    <s v="Female"/>
    <s v="Mumbai"/>
    <s v="Rice"/>
    <s v="Grocery"/>
    <n v="4"/>
    <n v="42642.59"/>
    <n v="170570.36"/>
  </r>
  <r>
    <s v="ORD100721"/>
    <x v="22"/>
    <s v="CUST7615"/>
    <s v="Customer_277"/>
    <n v="37"/>
    <s v="Male"/>
    <s v="Patna"/>
    <s v="Rice"/>
    <s v="Grocery"/>
    <n v="6"/>
    <n v="27168.79"/>
    <n v="163012.74"/>
  </r>
  <r>
    <s v="ORD100722"/>
    <x v="299"/>
    <s v="CUST8431"/>
    <s v="Customer_90"/>
    <n v="28"/>
    <s v="Male"/>
    <s v="Delhi"/>
    <s v="Rice"/>
    <s v="Grocery"/>
    <n v="7"/>
    <n v="31567.62"/>
    <n v="220973.34"/>
  </r>
  <r>
    <s v="ORD100723"/>
    <x v="309"/>
    <s v="CUST8657"/>
    <s v="Customer_495"/>
    <n v="58"/>
    <s v="Female"/>
    <s v="Delhi"/>
    <s v="Laptop"/>
    <s v="Electronics"/>
    <n v="10"/>
    <n v="44401.64"/>
    <n v="444016.4"/>
  </r>
  <r>
    <s v="ORD100724"/>
    <x v="213"/>
    <s v="CUST6762"/>
    <s v="Customer_235"/>
    <n v="47"/>
    <s v="Male"/>
    <s v="Delhi"/>
    <s v="Rice"/>
    <s v="Grocery"/>
    <n v="2"/>
    <n v="5467.01"/>
    <n v="10934.02"/>
  </r>
  <r>
    <s v="ORD100725"/>
    <x v="310"/>
    <s v="CUST5477"/>
    <s v="Customer_249"/>
    <n v="37"/>
    <s v="Female"/>
    <s v="Kolkata"/>
    <s v="Laptop"/>
    <s v="Electronics"/>
    <n v="7"/>
    <n v="40635.519999999997"/>
    <n v="284448.64000000001"/>
  </r>
  <r>
    <s v="ORD100726"/>
    <x v="56"/>
    <s v="CUST8338"/>
    <s v="Customer_90"/>
    <n v="38"/>
    <s v="Male"/>
    <s v="Pune"/>
    <s v="Shoes"/>
    <s v="Fashion"/>
    <n v="7"/>
    <n v="26916.23"/>
    <n v="188413.61"/>
  </r>
  <r>
    <s v="ORD100727"/>
    <x v="230"/>
    <s v="CUST3850"/>
    <s v="Customer_163"/>
    <n v="27"/>
    <s v="Female"/>
    <s v="Kolkata"/>
    <s v="Chair"/>
    <s v="Furniture"/>
    <n v="5"/>
    <n v="24409.5"/>
    <n v="122047.5"/>
  </r>
  <r>
    <s v="ORD100728"/>
    <x v="292"/>
    <s v="CUST8017"/>
    <s v="Customer_371"/>
    <n v="37"/>
    <s v="Male"/>
    <s v="Patna"/>
    <s v="Chair"/>
    <s v="Furniture"/>
    <n v="10"/>
    <n v="19600.310000000001"/>
    <n v="196003.1"/>
  </r>
  <r>
    <s v="ORD100729"/>
    <x v="256"/>
    <s v="CUST5295"/>
    <s v="Customer_223"/>
    <n v="58"/>
    <s v="Female"/>
    <s v="Kolkata"/>
    <s v="Book"/>
    <s v="Education"/>
    <n v="3"/>
    <n v="40119.65"/>
    <n v="120358.95"/>
  </r>
  <r>
    <s v="ORD100730"/>
    <x v="245"/>
    <s v="CUST4553"/>
    <s v="Customer_489"/>
    <n v="44"/>
    <s v="Female"/>
    <s v="Kolkata"/>
    <s v="Chair"/>
    <s v="Furniture"/>
    <n v="5"/>
    <n v="33187.56"/>
    <n v="165937.79999999999"/>
  </r>
  <r>
    <s v="ORD100731"/>
    <x v="117"/>
    <s v="CUST1269"/>
    <s v="Customer_423"/>
    <n v="22"/>
    <s v="Female"/>
    <s v="Gaya"/>
    <s v="Book"/>
    <s v="Education"/>
    <n v="3"/>
    <n v="26807.040000000001"/>
    <n v="80421.119999999995"/>
  </r>
  <r>
    <s v="ORD100732"/>
    <x v="192"/>
    <s v="CUST6578"/>
    <s v="Customer_194"/>
    <n v="64"/>
    <s v="Female"/>
    <s v="Hyderabad"/>
    <s v="Shoes"/>
    <s v="Fashion"/>
    <n v="1"/>
    <n v="19202.88"/>
    <n v="19202.88"/>
  </r>
  <r>
    <s v="ORD100733"/>
    <x v="88"/>
    <s v="CUST2832"/>
    <s v="Customer_204"/>
    <n v="22"/>
    <s v="Male"/>
    <s v="Pune"/>
    <s v="Chair"/>
    <s v="Furniture"/>
    <n v="6"/>
    <n v="27085.46"/>
    <n v="162512.76"/>
  </r>
  <r>
    <s v="ORD100734"/>
    <x v="36"/>
    <s v="CUST8314"/>
    <s v="Customer_440"/>
    <n v="28"/>
    <s v="Female"/>
    <s v="Gaya"/>
    <s v="Chair"/>
    <s v="Furniture"/>
    <n v="3"/>
    <n v="24462.54"/>
    <n v="73387.62"/>
  </r>
  <r>
    <s v="ORD100735"/>
    <x v="311"/>
    <s v="CUST7026"/>
    <s v="Customer_317"/>
    <n v="28"/>
    <s v="Male"/>
    <s v="Bengaluru"/>
    <s v="Rice"/>
    <s v="Grocery"/>
    <n v="6"/>
    <n v="25359.39"/>
    <n v="152156.34"/>
  </r>
  <r>
    <s v="ORD100736"/>
    <x v="312"/>
    <s v="CUST2793"/>
    <s v="Customer_462"/>
    <n v="32"/>
    <s v="Female"/>
    <s v="Gaya"/>
    <s v="Mobile"/>
    <s v="Electronics"/>
    <n v="6"/>
    <n v="19210.66"/>
    <n v="115263.96"/>
  </r>
  <r>
    <s v="ORD100737"/>
    <x v="47"/>
    <s v="CUST7522"/>
    <s v="Customer_322"/>
    <n v="53"/>
    <s v="Female"/>
    <s v="Kolkata"/>
    <s v="Rice"/>
    <s v="Grocery"/>
    <n v="5"/>
    <n v="414.13"/>
    <n v="2070.65"/>
  </r>
  <r>
    <s v="ORD100738"/>
    <x v="276"/>
    <s v="CUST1987"/>
    <s v="Customer_35"/>
    <n v="24"/>
    <s v="Male"/>
    <s v="Kolkata"/>
    <s v="Laptop"/>
    <s v="Electronics"/>
    <n v="6"/>
    <n v="9761.4599999999991"/>
    <n v="58568.76"/>
  </r>
  <r>
    <s v="ORD100739"/>
    <x v="79"/>
    <s v="CUST9414"/>
    <s v="Customer_359"/>
    <n v="61"/>
    <s v="Female"/>
    <s v="Hyderabad"/>
    <s v="Rice"/>
    <s v="Grocery"/>
    <n v="4"/>
    <n v="19284.599999999999"/>
    <n v="77138.399999999994"/>
  </r>
  <r>
    <s v="ORD100740"/>
    <x v="160"/>
    <s v="CUST2589"/>
    <s v="Customer_426"/>
    <n v="49"/>
    <s v="Male"/>
    <s v="Delhi"/>
    <s v="Laptop"/>
    <s v="Electronics"/>
    <n v="4"/>
    <n v="21098.23"/>
    <n v="84392.92"/>
  </r>
  <r>
    <s v="ORD100741"/>
    <x v="189"/>
    <s v="CUST8851"/>
    <s v="Customer_118"/>
    <n v="64"/>
    <s v="Male"/>
    <s v="Kolkata"/>
    <s v="Chair"/>
    <s v="Furniture"/>
    <n v="2"/>
    <n v="1876.89"/>
    <n v="3753.78"/>
  </r>
  <r>
    <s v="ORD100742"/>
    <x v="143"/>
    <s v="CUST4103"/>
    <s v="Customer_454"/>
    <n v="33"/>
    <s v="Male"/>
    <s v="Pune"/>
    <s v="Rice"/>
    <s v="Grocery"/>
    <n v="7"/>
    <n v="9084.0300000000007"/>
    <n v="63588.21"/>
  </r>
  <r>
    <s v="ORD100743"/>
    <x v="106"/>
    <s v="CUST2138"/>
    <s v="Customer_303"/>
    <n v="42"/>
    <s v="Female"/>
    <s v="Gaya"/>
    <s v="Rice"/>
    <s v="Grocery"/>
    <n v="3"/>
    <n v="45959.58"/>
    <n v="137878.74"/>
  </r>
  <r>
    <s v="ORD100744"/>
    <x v="187"/>
    <s v="CUST9645"/>
    <s v="Customer_238"/>
    <n v="29"/>
    <s v="Male"/>
    <s v="Pune"/>
    <s v="Chair"/>
    <s v="Furniture"/>
    <n v="8"/>
    <n v="8692.39"/>
    <n v="69539.12"/>
  </r>
  <r>
    <s v="ORD100745"/>
    <x v="113"/>
    <s v="CUST5624"/>
    <s v="Customer_25"/>
    <n v="22"/>
    <s v="Male"/>
    <s v="Patna"/>
    <s v="Laptop"/>
    <s v="Electronics"/>
    <n v="7"/>
    <n v="45703.28"/>
    <n v="319922.96000000002"/>
  </r>
  <r>
    <s v="ORD100746"/>
    <x v="301"/>
    <s v="CUST9518"/>
    <s v="Customer_192"/>
    <n v="22"/>
    <s v="Male"/>
    <s v="Pune"/>
    <s v="Mobile"/>
    <s v="Electronics"/>
    <n v="4"/>
    <n v="30973.53"/>
    <n v="123894.12"/>
  </r>
  <r>
    <s v="ORD100747"/>
    <x v="150"/>
    <s v="CUST9339"/>
    <s v="Customer_127"/>
    <n v="55"/>
    <s v="Male"/>
    <s v="Patna"/>
    <s v="Chair"/>
    <s v="Furniture"/>
    <n v="5"/>
    <n v="49147.41"/>
    <n v="245737.05"/>
  </r>
  <r>
    <s v="ORD100748"/>
    <x v="313"/>
    <s v="CUST9465"/>
    <s v="Customer_274"/>
    <n v="57"/>
    <s v="Male"/>
    <s v="Gaya"/>
    <s v="Laptop"/>
    <s v="Electronics"/>
    <n v="10"/>
    <n v="17533.55"/>
    <n v="175335.5"/>
  </r>
  <r>
    <s v="ORD100749"/>
    <x v="307"/>
    <s v="CUST6348"/>
    <s v="Customer_412"/>
    <n v="22"/>
    <s v="Female"/>
    <s v="Kolkata"/>
    <s v="Laptop"/>
    <s v="Electronics"/>
    <n v="5"/>
    <n v="18457.22"/>
    <n v="92286.1"/>
  </r>
  <r>
    <s v="ORD100750"/>
    <x v="156"/>
    <s v="CUST3730"/>
    <s v="Customer_273"/>
    <m/>
    <s v="Female"/>
    <m/>
    <s v="Chair"/>
    <s v="Furniture"/>
    <n v="10"/>
    <n v="43808.06"/>
    <n v="438080.6"/>
  </r>
  <r>
    <s v="ORD100751"/>
    <x v="139"/>
    <s v="CUST8058"/>
    <s v="Customer_273"/>
    <n v="60"/>
    <s v="Female"/>
    <s v="Pune"/>
    <s v="Book"/>
    <s v="Education"/>
    <n v="6"/>
    <n v="24375.93"/>
    <n v="146255.57999999999"/>
  </r>
  <r>
    <s v="ORD100752"/>
    <x v="13"/>
    <s v="CUST2921"/>
    <s v="Customer_420"/>
    <n v="27"/>
    <s v="Male"/>
    <s v="Patna"/>
    <s v="Shoes"/>
    <s v="Fashion"/>
    <n v="4"/>
    <n v="34969.019999999997"/>
    <n v="139876.07999999999"/>
  </r>
  <r>
    <s v="ORD100753"/>
    <x v="314"/>
    <s v="CUST9650"/>
    <s v="Customer_361"/>
    <n v="33"/>
    <s v="Female"/>
    <s v="Hyderabad"/>
    <s v="Book"/>
    <s v="Education"/>
    <n v="1"/>
    <n v="17299.04"/>
    <n v="17299.04"/>
  </r>
  <r>
    <s v="ORD100754"/>
    <x v="315"/>
    <s v="CUST2604"/>
    <s v="Customer_356"/>
    <n v="40"/>
    <s v="Male"/>
    <s v="Kolkata"/>
    <s v="Mobile"/>
    <s v="Electronics"/>
    <n v="5"/>
    <n v="10274.450000000001"/>
    <n v="51372.25"/>
  </r>
  <r>
    <s v="ORD100755"/>
    <x v="149"/>
    <s v="CUST9651"/>
    <s v="Customer_461"/>
    <n v="60"/>
    <s v="Female"/>
    <s v="Delhi"/>
    <s v="Book"/>
    <s v="Education"/>
    <n v="10"/>
    <n v="24270.17"/>
    <n v="242701.7"/>
  </r>
  <r>
    <s v="ORD100756"/>
    <x v="174"/>
    <s v="CUST1637"/>
    <s v="Customer_70"/>
    <n v="59"/>
    <s v="Male"/>
    <s v="Patna"/>
    <s v="Rice"/>
    <s v="Grocery"/>
    <n v="10"/>
    <n v="2066.9299999999998"/>
    <n v="20669.3"/>
  </r>
  <r>
    <s v="ORD100757"/>
    <x v="293"/>
    <s v="CUST9515"/>
    <s v="Customer_52"/>
    <n v="29"/>
    <s v="Female"/>
    <s v="Kolkata"/>
    <s v="Chair"/>
    <s v="Furniture"/>
    <n v="10"/>
    <n v="13304.47"/>
    <n v="133044.70000000001"/>
  </r>
  <r>
    <s v="ORD100758"/>
    <x v="89"/>
    <s v="CUST7173"/>
    <s v="Customer_44"/>
    <n v="21"/>
    <s v="Male"/>
    <s v="Hyderabad"/>
    <s v="Mobile"/>
    <s v="Electronics"/>
    <n v="5"/>
    <n v="9442.5"/>
    <n v="47212.5"/>
  </r>
  <r>
    <s v="ORD100759"/>
    <x v="140"/>
    <s v="CUST6279"/>
    <s v="Customer_97"/>
    <n v="21"/>
    <s v="Female"/>
    <s v="Kolkata"/>
    <s v="Mobile"/>
    <s v="Electronics"/>
    <n v="10"/>
    <n v="25698.62"/>
    <n v="256986.2"/>
  </r>
  <r>
    <s v="ORD100760"/>
    <x v="69"/>
    <s v="CUST2867"/>
    <s v="Customer_221"/>
    <n v="61"/>
    <s v="Male"/>
    <s v="Hyderabad"/>
    <s v="Shoes"/>
    <s v="Fashion"/>
    <n v="8"/>
    <n v="32219.95"/>
    <n v="257759.6"/>
  </r>
  <r>
    <s v="ORD100761"/>
    <x v="275"/>
    <s v="CUST3851"/>
    <s v="Customer_487"/>
    <n v="59"/>
    <s v="Male"/>
    <s v="Delhi"/>
    <s v="Laptop"/>
    <s v="Electronics"/>
    <n v="2"/>
    <n v="14931.2"/>
    <n v="29862.400000000001"/>
  </r>
  <r>
    <s v="ORD100762"/>
    <x v="52"/>
    <s v="CUST8729"/>
    <s v="Customer_72"/>
    <n v="48"/>
    <s v="Male"/>
    <s v="Kolkata"/>
    <s v="Chair"/>
    <s v="Furniture"/>
    <n v="4"/>
    <n v="40783.14"/>
    <n v="163132.56"/>
  </r>
  <r>
    <s v="ORD100763"/>
    <x v="215"/>
    <s v="CUST3580"/>
    <s v="Customer_60"/>
    <n v="56"/>
    <s v="Female"/>
    <s v="Gaya"/>
    <s v="Laptop"/>
    <s v="Electronics"/>
    <n v="5"/>
    <n v="17824.96"/>
    <n v="89124.800000000003"/>
  </r>
  <r>
    <s v="ORD100764"/>
    <x v="294"/>
    <s v="CUST4706"/>
    <s v="Customer_200"/>
    <n v="32"/>
    <s v="Male"/>
    <s v="Bengaluru"/>
    <s v="Laptop"/>
    <s v="Electronics"/>
    <n v="10"/>
    <n v="49217.41"/>
    <n v="492174.1"/>
  </r>
  <r>
    <s v="ORD100765"/>
    <x v="267"/>
    <s v="CUST8834"/>
    <s v="Customer_413"/>
    <n v="61"/>
    <s v="Female"/>
    <s v="Mumbai"/>
    <s v="Rice"/>
    <s v="Grocery"/>
    <n v="2"/>
    <n v="36631.230000000003"/>
    <n v="73262.460000000006"/>
  </r>
  <r>
    <s v="ORD100766"/>
    <x v="62"/>
    <s v="CUST6815"/>
    <s v="Customer_295"/>
    <n v="43"/>
    <s v="Female"/>
    <s v="Patna"/>
    <s v="Chair"/>
    <s v="Furniture"/>
    <n v="3"/>
    <n v="5550.25"/>
    <n v="16650.75"/>
  </r>
  <r>
    <s v="ORD100767"/>
    <x v="316"/>
    <s v="CUST1790"/>
    <s v="Customer_12"/>
    <n v="43"/>
    <s v="Male"/>
    <s v="Hyderabad"/>
    <s v="Mobile"/>
    <s v="Electronics"/>
    <n v="1"/>
    <n v="12225.22"/>
    <n v="12225.22"/>
  </r>
  <r>
    <s v="ORD100768"/>
    <x v="193"/>
    <s v="CUST9952"/>
    <s v="Customer_453"/>
    <n v="30"/>
    <s v="Female"/>
    <s v="Bengaluru"/>
    <s v="Mobile"/>
    <s v="Electronics"/>
    <n v="10"/>
    <n v="19819.95"/>
    <n v="198199.5"/>
  </r>
  <r>
    <s v="ORD100769"/>
    <x v="310"/>
    <s v="CUST7600"/>
    <s v="Customer_208"/>
    <n v="23"/>
    <s v="Male"/>
    <s v="Pune"/>
    <s v="Laptop"/>
    <s v="Electronics"/>
    <n v="1"/>
    <n v="42736.43"/>
    <n v="42736.43"/>
  </r>
  <r>
    <s v="ORD100770"/>
    <x v="317"/>
    <s v="CUST9628"/>
    <s v="Customer_422"/>
    <n v="27"/>
    <s v="Male"/>
    <s v="Bengaluru"/>
    <s v="Chair"/>
    <s v="Furniture"/>
    <n v="2"/>
    <n v="36426.050000000003"/>
    <n v="72852.100000000006"/>
  </r>
  <r>
    <s v="ORD100771"/>
    <x v="143"/>
    <s v="CUST5415"/>
    <s v="Customer_460"/>
    <n v="29"/>
    <s v="Female"/>
    <s v="Delhi"/>
    <s v="Shoes"/>
    <s v="Fashion"/>
    <n v="1"/>
    <n v="12121.61"/>
    <n v="12121.61"/>
  </r>
  <r>
    <s v="ORD100772"/>
    <x v="212"/>
    <s v="CUST6752"/>
    <s v="Customer_52"/>
    <n v="65"/>
    <s v="Male"/>
    <s v="Kolkata"/>
    <s v="Rice"/>
    <s v="Grocery"/>
    <n v="5"/>
    <n v="11824.36"/>
    <n v="59121.8"/>
  </r>
  <r>
    <s v="ORD100773"/>
    <x v="12"/>
    <s v="CUST7110"/>
    <s v="Customer_176"/>
    <n v="60"/>
    <s v="Male"/>
    <s v="Hyderabad"/>
    <s v="Mobile"/>
    <s v="Electronics"/>
    <n v="4"/>
    <n v="988.45"/>
    <n v="3953.8"/>
  </r>
  <r>
    <s v="ORD100774"/>
    <x v="306"/>
    <s v="CUST5240"/>
    <s v="Customer_379"/>
    <n v="43"/>
    <s v="Male"/>
    <s v="Patna"/>
    <s v="Mobile"/>
    <s v="Electronics"/>
    <n v="7"/>
    <n v="13263.83"/>
    <n v="92846.81"/>
  </r>
  <r>
    <s v="ORD100775"/>
    <x v="161"/>
    <s v="CUST5505"/>
    <s v="Customer_189"/>
    <n v="38"/>
    <s v="Female"/>
    <s v="Bengaluru"/>
    <s v="Book"/>
    <s v="Education"/>
    <n v="6"/>
    <n v="35023.550000000003"/>
    <n v="210141.3"/>
  </r>
  <r>
    <s v="ORD100776"/>
    <x v="180"/>
    <s v="CUST6116"/>
    <s v="Customer_343"/>
    <n v="32"/>
    <s v="Female"/>
    <s v="Gaya"/>
    <s v="Chair"/>
    <s v="Furniture"/>
    <n v="10"/>
    <n v="8630.9"/>
    <n v="86309"/>
  </r>
  <r>
    <s v="ORD100777"/>
    <x v="127"/>
    <s v="CUST3566"/>
    <s v="Customer_430"/>
    <n v="45"/>
    <s v="Female"/>
    <s v="Patna"/>
    <s v="Mobile"/>
    <s v="Electronics"/>
    <n v="6"/>
    <n v="29757.58"/>
    <n v="178545.48"/>
  </r>
  <r>
    <s v="ORD100778"/>
    <x v="30"/>
    <s v="CUST3763"/>
    <s v="Customer_257"/>
    <n v="57"/>
    <s v="Male"/>
    <s v="Hyderabad"/>
    <s v="Chair"/>
    <s v="Furniture"/>
    <n v="2"/>
    <n v="45538.2"/>
    <n v="91076.4"/>
  </r>
  <r>
    <s v="ORD100779"/>
    <x v="183"/>
    <s v="CUST3948"/>
    <s v="Customer_465"/>
    <n v="38"/>
    <s v="Male"/>
    <s v="Hyderabad"/>
    <s v="Chair"/>
    <s v="Furniture"/>
    <n v="6"/>
    <n v="19454.75"/>
    <n v="116728.5"/>
  </r>
  <r>
    <s v="ORD100780"/>
    <x v="203"/>
    <s v="CUST2369"/>
    <s v="Customer_259"/>
    <n v="56"/>
    <s v="Male"/>
    <s v="Mumbai"/>
    <s v="Chair"/>
    <s v="Furniture"/>
    <n v="3"/>
    <n v="21435.84"/>
    <n v="64307.519999999997"/>
  </r>
  <r>
    <s v="ORD100781"/>
    <x v="286"/>
    <s v="CUST3542"/>
    <s v="Customer_156"/>
    <n v="51"/>
    <s v="Male"/>
    <s v="Patna"/>
    <s v="Laptop"/>
    <s v="Electronics"/>
    <n v="1"/>
    <n v="47618.43"/>
    <n v="47618.43"/>
  </r>
  <r>
    <s v="ORD100782"/>
    <x v="152"/>
    <s v="CUST7724"/>
    <s v="Customer_365"/>
    <n v="38"/>
    <s v="Male"/>
    <s v="Kolkata"/>
    <s v="Book"/>
    <s v="Education"/>
    <n v="4"/>
    <n v="25110.560000000001"/>
    <n v="100442.24000000001"/>
  </r>
  <r>
    <s v="ORD100783"/>
    <x v="128"/>
    <s v="CUST5419"/>
    <s v="Customer_263"/>
    <n v="65"/>
    <s v="Female"/>
    <s v="Patna"/>
    <s v="Book"/>
    <s v="Education"/>
    <n v="9"/>
    <n v="797.71"/>
    <n v="7179.39"/>
  </r>
  <r>
    <s v="ORD100784"/>
    <x v="318"/>
    <s v="CUST6571"/>
    <s v="Customer_156"/>
    <n v="43"/>
    <s v="Female"/>
    <s v="Pune"/>
    <s v="Chair"/>
    <s v="Furniture"/>
    <n v="3"/>
    <n v="25235.41"/>
    <n v="75706.23"/>
  </r>
  <r>
    <s v="ORD100785"/>
    <x v="228"/>
    <s v="CUST7650"/>
    <s v="Customer_453"/>
    <n v="50"/>
    <s v="Male"/>
    <s v="Kolkata"/>
    <s v="Book"/>
    <s v="Education"/>
    <n v="8"/>
    <n v="43467"/>
    <n v="347736"/>
  </r>
  <r>
    <s v="ORD100786"/>
    <x v="1"/>
    <s v="CUST7445"/>
    <s v="Customer_233"/>
    <n v="60"/>
    <s v="Female"/>
    <s v="Bengaluru"/>
    <s v="Shoes"/>
    <s v="Fashion"/>
    <n v="9"/>
    <n v="35691.39"/>
    <n v="321222.51"/>
  </r>
  <r>
    <s v="ORD100787"/>
    <x v="182"/>
    <s v="CUST6565"/>
    <s v="Customer_431"/>
    <n v="50"/>
    <s v="Female"/>
    <s v="Gaya"/>
    <s v="Book"/>
    <s v="Education"/>
    <n v="6"/>
    <n v="28107.77"/>
    <n v="168646.62"/>
  </r>
  <r>
    <s v="ORD100788"/>
    <x v="170"/>
    <s v="CUST2969"/>
    <s v="Customer_287"/>
    <n v="59"/>
    <s v="Male"/>
    <s v="Kolkata"/>
    <s v="Rice"/>
    <s v="Grocery"/>
    <n v="6"/>
    <n v="39662.1"/>
    <n v="237972.6"/>
  </r>
  <r>
    <s v="ORD100789"/>
    <x v="160"/>
    <s v="CUST3298"/>
    <s v="Customer_155"/>
    <n v="63"/>
    <s v="Female"/>
    <s v="Kolkata"/>
    <s v="Rice"/>
    <s v="Grocery"/>
    <n v="5"/>
    <n v="14533.4"/>
    <n v="72667"/>
  </r>
  <r>
    <s v="ORD100790"/>
    <x v="191"/>
    <s v="CUST3260"/>
    <s v="Customer_237"/>
    <n v="55"/>
    <s v="Male"/>
    <s v="Mumbai"/>
    <s v="Book"/>
    <s v="Education"/>
    <n v="9"/>
    <n v="12322.26"/>
    <n v="110900.34"/>
  </r>
  <r>
    <s v="ORD100791"/>
    <x v="319"/>
    <s v="CUST9962"/>
    <s v="Customer_161"/>
    <n v="45"/>
    <s v="Male"/>
    <s v="Mumbai"/>
    <s v="Chair"/>
    <s v="Furniture"/>
    <n v="10"/>
    <n v="18178.32"/>
    <n v="181783.2"/>
  </r>
  <r>
    <s v="ORD100792"/>
    <x v="320"/>
    <s v="CUST6814"/>
    <s v="Customer_70"/>
    <n v="62"/>
    <s v="Male"/>
    <s v="Bengaluru"/>
    <s v="Shoes"/>
    <s v="Fashion"/>
    <n v="9"/>
    <n v="6282.93"/>
    <n v="56546.37"/>
  </r>
  <r>
    <s v="ORD100793"/>
    <x v="318"/>
    <s v="CUST2859"/>
    <s v="Customer_395"/>
    <n v="21"/>
    <s v="Female"/>
    <s v="Kolkata"/>
    <s v="Rice"/>
    <s v="Grocery"/>
    <n v="4"/>
    <n v="40391.300000000003"/>
    <n v="161565.20000000001"/>
  </r>
  <r>
    <s v="ORD100794"/>
    <x v="308"/>
    <s v="CUST7228"/>
    <s v="Customer_200"/>
    <n v="21"/>
    <s v="Female"/>
    <s v="Bengaluru"/>
    <s v="Shoes"/>
    <s v="Fashion"/>
    <n v="3"/>
    <n v="39157.519999999997"/>
    <n v="117472.56"/>
  </r>
  <r>
    <s v="ORD100795"/>
    <x v="61"/>
    <s v="CUST2551"/>
    <s v="Customer_343"/>
    <n v="19"/>
    <s v="Male"/>
    <s v="Patna"/>
    <s v="Book"/>
    <s v="Education"/>
    <n v="5"/>
    <n v="12334.78"/>
    <n v="61673.9"/>
  </r>
  <r>
    <s v="ORD100796"/>
    <x v="71"/>
    <s v="CUST6845"/>
    <s v="Customer_385"/>
    <n v="57"/>
    <s v="Female"/>
    <s v="Mumbai"/>
    <s v="Shoes"/>
    <s v="Fashion"/>
    <n v="9"/>
    <n v="38573.17"/>
    <n v="347158.53"/>
  </r>
  <r>
    <s v="ORD100797"/>
    <x v="124"/>
    <s v="CUST5806"/>
    <s v="Customer_167"/>
    <n v="48"/>
    <s v="Male"/>
    <s v="Bengaluru"/>
    <s v="Book"/>
    <s v="Education"/>
    <n v="6"/>
    <n v="18842.34"/>
    <n v="113054.04"/>
  </r>
  <r>
    <s v="ORD100798"/>
    <x v="142"/>
    <s v="CUST5718"/>
    <s v="Customer_251"/>
    <n v="62"/>
    <s v="Female"/>
    <s v="Kolkata"/>
    <s v="Shoes"/>
    <s v="Fashion"/>
    <n v="4"/>
    <n v="20118.349999999999"/>
    <n v="80473.399999999994"/>
  </r>
  <r>
    <s v="ORD100799"/>
    <x v="84"/>
    <s v="CUST8242"/>
    <s v="Customer_492"/>
    <n v="51"/>
    <s v="Male"/>
    <s v="Mumbai"/>
    <s v="Rice"/>
    <s v="Grocery"/>
    <n v="6"/>
    <n v="39243.449999999997"/>
    <n v="235460.7"/>
  </r>
  <r>
    <s v="ORD100800"/>
    <x v="321"/>
    <s v="CUST1618"/>
    <s v="Customer_166"/>
    <m/>
    <s v="Male"/>
    <s v="Patna"/>
    <s v="Rice"/>
    <s v="Grocery"/>
    <n v="10"/>
    <n v="15891.66"/>
    <n v="158916.6"/>
  </r>
  <r>
    <s v="ORD100801"/>
    <x v="135"/>
    <s v="CUST3297"/>
    <s v="Customer_465"/>
    <n v="47"/>
    <s v="Male"/>
    <s v="Gaya"/>
    <s v="Mobile"/>
    <s v="Electronics"/>
    <n v="1"/>
    <n v="40350.67"/>
    <n v="40350.67"/>
  </r>
  <r>
    <s v="ORD100802"/>
    <x v="144"/>
    <s v="CUST4901"/>
    <s v="Customer_327"/>
    <n v="29"/>
    <s v="Female"/>
    <s v="Mumbai"/>
    <s v="Rice"/>
    <s v="Grocery"/>
    <n v="1"/>
    <n v="47545.23"/>
    <n v="47545.23"/>
  </r>
  <r>
    <s v="ORD100803"/>
    <x v="292"/>
    <s v="CUST3189"/>
    <s v="Customer_384"/>
    <n v="30"/>
    <s v="Female"/>
    <s v="Kolkata"/>
    <s v="Book"/>
    <s v="Education"/>
    <n v="4"/>
    <n v="17304.91"/>
    <n v="69219.64"/>
  </r>
  <r>
    <s v="ORD100804"/>
    <x v="318"/>
    <s v="CUST3690"/>
    <s v="Customer_413"/>
    <n v="32"/>
    <s v="Female"/>
    <s v="Delhi"/>
    <s v="Book"/>
    <s v="Education"/>
    <n v="6"/>
    <n v="17079.990000000002"/>
    <n v="102479.94"/>
  </r>
  <r>
    <s v="ORD100805"/>
    <x v="322"/>
    <s v="CUST7876"/>
    <s v="Customer_34"/>
    <n v="57"/>
    <s v="Male"/>
    <s v="Bengaluru"/>
    <s v="Shoes"/>
    <s v="Fashion"/>
    <n v="9"/>
    <n v="44772.959999999999"/>
    <n v="402956.64"/>
  </r>
  <r>
    <s v="ORD100806"/>
    <x v="197"/>
    <s v="CUST9089"/>
    <s v="Customer_303"/>
    <n v="50"/>
    <s v="Female"/>
    <s v="Gaya"/>
    <s v="Shoes"/>
    <s v="Fashion"/>
    <n v="10"/>
    <n v="32483.32"/>
    <n v="324833.2"/>
  </r>
  <r>
    <s v="ORD100807"/>
    <x v="90"/>
    <s v="CUST6442"/>
    <s v="Customer_10"/>
    <n v="62"/>
    <s v="Male"/>
    <s v="Kolkata"/>
    <s v="Chair"/>
    <s v="Furniture"/>
    <n v="9"/>
    <n v="47699.69"/>
    <n v="429297.21"/>
  </r>
  <r>
    <s v="ORD100808"/>
    <x v="280"/>
    <s v="CUST9514"/>
    <s v="Customer_180"/>
    <n v="28"/>
    <s v="Female"/>
    <s v="Patna"/>
    <s v="Chair"/>
    <s v="Furniture"/>
    <n v="2"/>
    <n v="23127.63"/>
    <n v="46255.26"/>
  </r>
  <r>
    <s v="ORD100809"/>
    <x v="265"/>
    <s v="CUST7903"/>
    <s v="Customer_163"/>
    <n v="60"/>
    <s v="Female"/>
    <s v="Bengaluru"/>
    <s v="Shoes"/>
    <s v="Fashion"/>
    <n v="6"/>
    <n v="16882.560000000001"/>
    <n v="101295.36"/>
  </r>
  <r>
    <s v="ORD100810"/>
    <x v="140"/>
    <s v="CUST1658"/>
    <s v="Customer_324"/>
    <n v="52"/>
    <s v="Male"/>
    <s v="Hyderabad"/>
    <s v="Rice"/>
    <s v="Grocery"/>
    <n v="6"/>
    <n v="32296.32"/>
    <n v="193777.92000000001"/>
  </r>
  <r>
    <s v="ORD100811"/>
    <x v="150"/>
    <s v="CUST6719"/>
    <s v="Customer_394"/>
    <n v="30"/>
    <s v="Female"/>
    <s v="Patna"/>
    <s v="Book"/>
    <s v="Education"/>
    <n v="3"/>
    <n v="15090.15"/>
    <n v="45270.45"/>
  </r>
  <r>
    <s v="ORD100812"/>
    <x v="296"/>
    <s v="CUST4941"/>
    <s v="Customer_457"/>
    <n v="50"/>
    <s v="Female"/>
    <s v="Mumbai"/>
    <s v="Chair"/>
    <s v="Furniture"/>
    <n v="2"/>
    <n v="30197.53"/>
    <n v="60395.06"/>
  </r>
  <r>
    <s v="ORD100813"/>
    <x v="305"/>
    <s v="CUST5851"/>
    <s v="Customer_418"/>
    <n v="50"/>
    <s v="Male"/>
    <s v="Patna"/>
    <s v="Mobile"/>
    <s v="Electronics"/>
    <n v="2"/>
    <n v="41544.449999999997"/>
    <n v="83088.899999999994"/>
  </r>
  <r>
    <s v="ORD100814"/>
    <x v="119"/>
    <s v="CUST1149"/>
    <s v="Customer_14"/>
    <n v="40"/>
    <s v="Female"/>
    <s v="Hyderabad"/>
    <s v="Laptop"/>
    <s v="Electronics"/>
    <n v="8"/>
    <n v="42593.69"/>
    <n v="340749.52"/>
  </r>
  <r>
    <s v="ORD100815"/>
    <x v="146"/>
    <s v="CUST6336"/>
    <s v="Customer_63"/>
    <n v="52"/>
    <s v="Male"/>
    <s v="Delhi"/>
    <s v="Mobile"/>
    <s v="Electronics"/>
    <n v="1"/>
    <n v="26771.99"/>
    <n v="26771.99"/>
  </r>
  <r>
    <s v="ORD100816"/>
    <x v="140"/>
    <s v="CUST1960"/>
    <s v="Customer_367"/>
    <n v="44"/>
    <s v="Male"/>
    <s v="Kolkata"/>
    <s v="Rice"/>
    <s v="Grocery"/>
    <n v="9"/>
    <n v="31690.41"/>
    <n v="285213.69"/>
  </r>
  <r>
    <s v="ORD100817"/>
    <x v="323"/>
    <s v="CUST6933"/>
    <s v="Customer_224"/>
    <n v="23"/>
    <s v="Female"/>
    <s v="Patna"/>
    <s v="Rice"/>
    <s v="Grocery"/>
    <n v="6"/>
    <n v="20913.849999999999"/>
    <n v="125483.1"/>
  </r>
  <r>
    <s v="ORD100818"/>
    <x v="267"/>
    <s v="CUST3006"/>
    <s v="Customer_343"/>
    <n v="49"/>
    <s v="Male"/>
    <s v="Hyderabad"/>
    <s v="Chair"/>
    <s v="Furniture"/>
    <n v="7"/>
    <n v="36034.1"/>
    <n v="252238.7"/>
  </r>
  <r>
    <s v="ORD100819"/>
    <x v="274"/>
    <s v="CUST8754"/>
    <s v="Customer_77"/>
    <n v="28"/>
    <s v="Male"/>
    <s v="Kolkata"/>
    <s v="Mobile"/>
    <s v="Electronics"/>
    <n v="8"/>
    <n v="21646.639999999999"/>
    <n v="173173.12"/>
  </r>
  <r>
    <s v="ORD100820"/>
    <x v="192"/>
    <s v="CUST9458"/>
    <s v="Customer_391"/>
    <n v="60"/>
    <s v="Male"/>
    <s v="Bengaluru"/>
    <s v="Laptop"/>
    <s v="Electronics"/>
    <n v="1"/>
    <n v="21553.66"/>
    <n v="21553.66"/>
  </r>
  <r>
    <s v="ORD100821"/>
    <x v="249"/>
    <s v="CUST4979"/>
    <s v="Customer_273"/>
    <n v="45"/>
    <s v="Male"/>
    <s v="Mumbai"/>
    <s v="Book"/>
    <s v="Education"/>
    <n v="3"/>
    <n v="17152.2"/>
    <n v="51456.6"/>
  </r>
  <r>
    <s v="ORD100822"/>
    <x v="251"/>
    <s v="CUST6340"/>
    <s v="Customer_125"/>
    <n v="37"/>
    <s v="Female"/>
    <s v="Gaya"/>
    <s v="Rice"/>
    <s v="Grocery"/>
    <n v="1"/>
    <n v="21368.29"/>
    <n v="21368.29"/>
  </r>
  <r>
    <s v="ORD100823"/>
    <x v="243"/>
    <s v="CUST7814"/>
    <s v="Customer_134"/>
    <n v="20"/>
    <s v="Female"/>
    <s v="Bengaluru"/>
    <s v="Shoes"/>
    <s v="Fashion"/>
    <n v="7"/>
    <n v="47413.32"/>
    <n v="331893.24"/>
  </r>
  <r>
    <s v="ORD100824"/>
    <x v="67"/>
    <s v="CUST8199"/>
    <s v="Customer_39"/>
    <n v="64"/>
    <s v="Female"/>
    <s v="Gaya"/>
    <s v="Chair"/>
    <s v="Furniture"/>
    <n v="4"/>
    <n v="2716.24"/>
    <n v="10864.96"/>
  </r>
  <r>
    <s v="ORD100825"/>
    <x v="160"/>
    <s v="CUST9718"/>
    <s v="Customer_11"/>
    <n v="57"/>
    <s v="Female"/>
    <m/>
    <s v="Laptop"/>
    <s v="Electronics"/>
    <n v="2"/>
    <n v="45863.13"/>
    <n v="91726.26"/>
  </r>
  <r>
    <s v="ORD100826"/>
    <x v="154"/>
    <s v="CUST7065"/>
    <s v="Customer_335"/>
    <n v="24"/>
    <s v="Female"/>
    <s v="Bengaluru"/>
    <s v="Shoes"/>
    <s v="Fashion"/>
    <n v="5"/>
    <n v="48228.959999999999"/>
    <n v="241144.8"/>
  </r>
  <r>
    <s v="ORD100827"/>
    <x v="66"/>
    <s v="CUST6162"/>
    <s v="Customer_165"/>
    <n v="42"/>
    <s v="Male"/>
    <s v="Mumbai"/>
    <s v="Laptop"/>
    <s v="Electronics"/>
    <n v="1"/>
    <n v="31849.439999999999"/>
    <n v="31849.439999999999"/>
  </r>
  <r>
    <s v="ORD100828"/>
    <x v="324"/>
    <s v="CUST6944"/>
    <s v="Customer_460"/>
    <n v="33"/>
    <s v="Male"/>
    <s v="Gaya"/>
    <s v="Book"/>
    <s v="Education"/>
    <n v="4"/>
    <n v="8685.69"/>
    <n v="34742.76"/>
  </r>
  <r>
    <s v="ORD100829"/>
    <x v="47"/>
    <s v="CUST8319"/>
    <s v="Customer_362"/>
    <n v="44"/>
    <s v="Male"/>
    <s v="Delhi"/>
    <s v="Rice"/>
    <s v="Grocery"/>
    <n v="2"/>
    <n v="49685.64"/>
    <n v="99371.28"/>
  </r>
  <r>
    <s v="ORD100830"/>
    <x v="24"/>
    <s v="CUST6540"/>
    <s v="Customer_230"/>
    <n v="19"/>
    <s v="Male"/>
    <s v="Kolkata"/>
    <s v="Shoes"/>
    <s v="Fashion"/>
    <n v="8"/>
    <n v="10921.12"/>
    <n v="87368.960000000006"/>
  </r>
  <r>
    <s v="ORD100831"/>
    <x v="192"/>
    <s v="CUST8453"/>
    <s v="Customer_68"/>
    <n v="53"/>
    <s v="Female"/>
    <s v="Patna"/>
    <s v="Laptop"/>
    <s v="Electronics"/>
    <n v="3"/>
    <n v="33896.35"/>
    <n v="101689.05"/>
  </r>
  <r>
    <s v="ORD100832"/>
    <x v="325"/>
    <s v="CUST5605"/>
    <s v="Customer_23"/>
    <n v="30"/>
    <s v="Female"/>
    <s v="Kolkata"/>
    <s v="Shoes"/>
    <s v="Fashion"/>
    <n v="4"/>
    <n v="31512.79"/>
    <n v="126051.16"/>
  </r>
  <r>
    <s v="ORD100833"/>
    <x v="326"/>
    <s v="CUST8704"/>
    <s v="Customer_440"/>
    <n v="20"/>
    <s v="Female"/>
    <s v="Kolkata"/>
    <s v="Mobile"/>
    <s v="Electronics"/>
    <n v="6"/>
    <n v="17944.07"/>
    <n v="107664.42"/>
  </r>
  <r>
    <s v="ORD100834"/>
    <x v="237"/>
    <s v="CUST3264"/>
    <s v="Customer_227"/>
    <n v="51"/>
    <s v="Female"/>
    <s v="Gaya"/>
    <s v="Mobile"/>
    <s v="Electronics"/>
    <n v="3"/>
    <n v="14145.7"/>
    <n v="42437.1"/>
  </r>
  <r>
    <s v="ORD100835"/>
    <x v="111"/>
    <s v="CUST9364"/>
    <s v="Customer_352"/>
    <n v="62"/>
    <s v="Female"/>
    <s v="Gaya"/>
    <s v="Book"/>
    <s v="Education"/>
    <n v="3"/>
    <n v="33186.379999999997"/>
    <n v="99559.14"/>
  </r>
  <r>
    <s v="ORD100836"/>
    <x v="244"/>
    <s v="CUST3366"/>
    <s v="Customer_47"/>
    <n v="23"/>
    <s v="Male"/>
    <s v="Patna"/>
    <s v="Mobile"/>
    <s v="Electronics"/>
    <n v="5"/>
    <n v="24537.11"/>
    <n v="122685.55"/>
  </r>
  <r>
    <s v="ORD100837"/>
    <x v="165"/>
    <s v="CUST6067"/>
    <s v="Customer_499"/>
    <n v="26"/>
    <s v="Male"/>
    <s v="Kolkata"/>
    <s v="Mobile"/>
    <s v="Electronics"/>
    <n v="4"/>
    <n v="7989.47"/>
    <n v="31957.88"/>
  </r>
  <r>
    <s v="ORD100838"/>
    <x v="113"/>
    <s v="CUST5389"/>
    <s v="Customer_362"/>
    <n v="44"/>
    <s v="Female"/>
    <s v="Mumbai"/>
    <s v="Shoes"/>
    <s v="Fashion"/>
    <n v="6"/>
    <n v="9784.56"/>
    <n v="58707.360000000001"/>
  </r>
  <r>
    <s v="ORD100839"/>
    <x v="239"/>
    <s v="CUST8766"/>
    <s v="Customer_140"/>
    <n v="47"/>
    <s v="Female"/>
    <s v="Hyderabad"/>
    <s v="Laptop"/>
    <s v="Electronics"/>
    <n v="5"/>
    <n v="47021.1"/>
    <n v="235105.5"/>
  </r>
  <r>
    <s v="ORD100050"/>
    <x v="186"/>
    <s v="CUST5585"/>
    <s v="Customer_289"/>
    <n v="35"/>
    <s v="Male"/>
    <s v="Kolkata"/>
    <s v="Chair"/>
    <s v="Furniture"/>
    <n v="9"/>
    <n v="28747.47"/>
    <n v="258727.23"/>
  </r>
  <r>
    <s v="ORD100841"/>
    <x v="8"/>
    <s v="CUST7544"/>
    <s v="Customer_225"/>
    <n v="26"/>
    <s v="Male"/>
    <s v="Mumbai"/>
    <s v="Book"/>
    <s v="Education"/>
    <n v="10"/>
    <n v="35093.39"/>
    <n v="350933.9"/>
  </r>
  <r>
    <s v="ORD100842"/>
    <x v="266"/>
    <s v="CUST8217"/>
    <s v="Customer_83"/>
    <n v="43"/>
    <s v="Female"/>
    <s v="Delhi"/>
    <s v="Book"/>
    <s v="Education"/>
    <n v="3"/>
    <n v="22843.06"/>
    <n v="68529.179999999993"/>
  </r>
  <r>
    <s v="ORD100843"/>
    <x v="148"/>
    <s v="CUST6780"/>
    <s v="Customer_262"/>
    <n v="42"/>
    <s v="Female"/>
    <s v="Hyderabad"/>
    <s v="Book"/>
    <s v="Education"/>
    <n v="7"/>
    <n v="38502.79"/>
    <n v="269519.53000000003"/>
  </r>
  <r>
    <s v="ORD100844"/>
    <x v="260"/>
    <s v="CUST9804"/>
    <s v="Customer_284"/>
    <n v="32"/>
    <s v="Male"/>
    <s v="Patna"/>
    <s v="Mobile"/>
    <s v="Electronics"/>
    <n v="5"/>
    <n v="45283.42"/>
    <n v="226417.1"/>
  </r>
  <r>
    <s v="ORD100845"/>
    <x v="84"/>
    <s v="CUST5876"/>
    <s v="Customer_389"/>
    <n v="42"/>
    <s v="Female"/>
    <s v="Patna"/>
    <s v="Mobile"/>
    <s v="Electronics"/>
    <n v="6"/>
    <n v="37149.97"/>
    <n v="222899.82"/>
  </r>
  <r>
    <s v="ORD100846"/>
    <x v="230"/>
    <s v="CUST1026"/>
    <s v="Customer_445"/>
    <n v="65"/>
    <s v="Female"/>
    <s v="Kolkata"/>
    <s v="Book"/>
    <s v="Education"/>
    <n v="7"/>
    <n v="23566.47"/>
    <n v="164965.29"/>
  </r>
  <r>
    <s v="ORD100847"/>
    <x v="55"/>
    <s v="CUST5432"/>
    <s v="Customer_163"/>
    <n v="57"/>
    <s v="Male"/>
    <s v="Patna"/>
    <s v="Shoes"/>
    <s v="Fashion"/>
    <n v="10"/>
    <n v="1557.12"/>
    <n v="15571.2"/>
  </r>
  <r>
    <s v="ORD100848"/>
    <x v="285"/>
    <s v="CUST8575"/>
    <s v="Customer_481"/>
    <n v="21"/>
    <s v="Male"/>
    <s v="Patna"/>
    <s v="Book"/>
    <s v="Education"/>
    <n v="1"/>
    <n v="38929.370000000003"/>
    <n v="38929.370000000003"/>
  </r>
  <r>
    <s v="ORD100849"/>
    <x v="78"/>
    <s v="CUST5455"/>
    <s v="Customer_287"/>
    <n v="26"/>
    <s v="Male"/>
    <s v="Bengaluru"/>
    <s v="Chair"/>
    <s v="Furniture"/>
    <n v="2"/>
    <n v="43357.83"/>
    <n v="86715.66"/>
  </r>
  <r>
    <s v="ORD100850"/>
    <x v="208"/>
    <s v="CUST2834"/>
    <s v="Customer_98"/>
    <m/>
    <s v="Male"/>
    <s v="Kolkata"/>
    <s v="Rice"/>
    <s v="Grocery"/>
    <n v="9"/>
    <n v="30091.26"/>
    <n v="270821.34000000003"/>
  </r>
  <r>
    <s v="ORD100851"/>
    <x v="236"/>
    <s v="CUST4431"/>
    <s v="Customer_177"/>
    <n v="19"/>
    <s v="Male"/>
    <s v="Gaya"/>
    <s v="Chair"/>
    <s v="Furniture"/>
    <n v="10"/>
    <n v="3051.95"/>
    <n v="30519.5"/>
  </r>
  <r>
    <s v="ORD100852"/>
    <x v="290"/>
    <s v="CUST3744"/>
    <s v="Customer_2"/>
    <n v="20"/>
    <s v="Female"/>
    <s v="Mumbai"/>
    <s v="Shoes"/>
    <s v="Fashion"/>
    <n v="3"/>
    <n v="31063.57"/>
    <n v="93190.71"/>
  </r>
  <r>
    <s v="ORD100853"/>
    <x v="78"/>
    <s v="CUST1962"/>
    <s v="Customer_116"/>
    <n v="23"/>
    <s v="Male"/>
    <s v="Delhi"/>
    <s v="Rice"/>
    <s v="Grocery"/>
    <n v="10"/>
    <n v="5580.23"/>
    <n v="55802.3"/>
  </r>
  <r>
    <s v="ORD100854"/>
    <x v="166"/>
    <s v="CUST7787"/>
    <s v="Customer_139"/>
    <n v="40"/>
    <s v="Male"/>
    <s v="Pune"/>
    <s v="Book"/>
    <s v="Education"/>
    <n v="8"/>
    <n v="35859.94"/>
    <n v="286879.52"/>
  </r>
  <r>
    <s v="ORD100855"/>
    <x v="101"/>
    <s v="CUST3679"/>
    <s v="Customer_242"/>
    <n v="48"/>
    <s v="Male"/>
    <s v="Patna"/>
    <s v="Shoes"/>
    <s v="Fashion"/>
    <n v="5"/>
    <n v="47893"/>
    <n v="239465"/>
  </r>
  <r>
    <s v="ORD100856"/>
    <x v="248"/>
    <s v="CUST8455"/>
    <s v="Customer_468"/>
    <n v="37"/>
    <s v="Female"/>
    <s v="Bengaluru"/>
    <s v="Shoes"/>
    <s v="Fashion"/>
    <n v="2"/>
    <n v="47996.02"/>
    <n v="95992.04"/>
  </r>
  <r>
    <s v="ORD100857"/>
    <x v="94"/>
    <s v="CUST4973"/>
    <s v="Customer_443"/>
    <n v="24"/>
    <s v="Male"/>
    <s v="Kolkata"/>
    <s v="Shoes"/>
    <s v="Fashion"/>
    <n v="1"/>
    <n v="42500.65"/>
    <n v="42500.65"/>
  </r>
  <r>
    <s v="ORD100858"/>
    <x v="174"/>
    <s v="CUST7578"/>
    <s v="Customer_245"/>
    <n v="38"/>
    <s v="Female"/>
    <s v="Delhi"/>
    <s v="Rice"/>
    <s v="Grocery"/>
    <n v="8"/>
    <n v="7543.31"/>
    <n v="60346.48"/>
  </r>
  <r>
    <s v="ORD100859"/>
    <x v="199"/>
    <s v="CUST9287"/>
    <s v="Customer_281"/>
    <n v="54"/>
    <s v="Female"/>
    <s v="Bengaluru"/>
    <s v="Book"/>
    <s v="Education"/>
    <n v="4"/>
    <n v="7779.34"/>
    <n v="31117.360000000001"/>
  </r>
  <r>
    <s v="ORD100860"/>
    <x v="327"/>
    <s v="CUST3430"/>
    <s v="Customer_184"/>
    <n v="51"/>
    <s v="Female"/>
    <s v="Kolkata"/>
    <s v="Mobile"/>
    <s v="Electronics"/>
    <n v="6"/>
    <n v="35959.07"/>
    <n v="215754.42"/>
  </r>
  <r>
    <s v="ORD100861"/>
    <x v="95"/>
    <s v="CUST9817"/>
    <s v="Customer_388"/>
    <n v="45"/>
    <s v="Male"/>
    <s v="Patna"/>
    <s v="Mobile"/>
    <s v="Electronics"/>
    <n v="7"/>
    <n v="9471.49"/>
    <n v="66300.429999999993"/>
  </r>
  <r>
    <s v="ORD100862"/>
    <x v="328"/>
    <s v="CUST7072"/>
    <s v="Customer_4"/>
    <n v="62"/>
    <s v="Female"/>
    <s v="Gaya"/>
    <s v="Shoes"/>
    <s v="Fashion"/>
    <n v="8"/>
    <n v="26327.39"/>
    <n v="210619.12"/>
  </r>
  <r>
    <s v="ORD100863"/>
    <x v="135"/>
    <s v="CUST9510"/>
    <s v="Customer_15"/>
    <n v="63"/>
    <s v="Female"/>
    <s v="Delhi"/>
    <s v="Chair"/>
    <s v="Furniture"/>
    <n v="9"/>
    <n v="48313.36"/>
    <n v="434820.24"/>
  </r>
  <r>
    <s v="ORD100864"/>
    <x v="4"/>
    <s v="CUST3327"/>
    <s v="Customer_94"/>
    <n v="19"/>
    <s v="Female"/>
    <s v="Pune"/>
    <s v="Laptop"/>
    <s v="Electronics"/>
    <n v="2"/>
    <n v="45217.919999999998"/>
    <n v="90435.839999999997"/>
  </r>
  <r>
    <s v="ORD100865"/>
    <x v="205"/>
    <s v="CUST2202"/>
    <s v="Customer_26"/>
    <n v="26"/>
    <s v="Female"/>
    <s v="Patna"/>
    <s v="Chair"/>
    <s v="Furniture"/>
    <n v="2"/>
    <n v="40130.21"/>
    <n v="80260.42"/>
  </r>
  <r>
    <s v="ORD100866"/>
    <x v="152"/>
    <s v="CUST3767"/>
    <s v="Customer_470"/>
    <n v="49"/>
    <s v="Female"/>
    <s v="Hyderabad"/>
    <s v="Chair"/>
    <s v="Furniture"/>
    <n v="7"/>
    <n v="283.10000000000002"/>
    <n v="1981.7"/>
  </r>
  <r>
    <s v="ORD100867"/>
    <x v="192"/>
    <s v="CUST4947"/>
    <s v="Customer_352"/>
    <n v="58"/>
    <s v="Male"/>
    <s v="Bengaluru"/>
    <s v="Chair"/>
    <s v="Furniture"/>
    <n v="5"/>
    <n v="7521.13"/>
    <n v="37605.65"/>
  </r>
  <r>
    <s v="ORD100868"/>
    <x v="234"/>
    <s v="CUST4888"/>
    <s v="Customer_13"/>
    <n v="38"/>
    <s v="Male"/>
    <s v="Pune"/>
    <s v="Shoes"/>
    <s v="Fashion"/>
    <n v="5"/>
    <n v="8055.03"/>
    <n v="40275.15"/>
  </r>
  <r>
    <s v="ORD100869"/>
    <x v="288"/>
    <s v="CUST4996"/>
    <s v="Customer_184"/>
    <n v="64"/>
    <s v="Male"/>
    <s v="Delhi"/>
    <s v="Book"/>
    <s v="Education"/>
    <n v="4"/>
    <n v="28263.33"/>
    <n v="113053.32"/>
  </r>
  <r>
    <s v="ORD100870"/>
    <x v="200"/>
    <s v="CUST4112"/>
    <s v="Customer_71"/>
    <n v="33"/>
    <s v="Female"/>
    <s v="Kolkata"/>
    <s v="Shoes"/>
    <s v="Fashion"/>
    <n v="4"/>
    <n v="12941.53"/>
    <n v="51766.12"/>
  </r>
  <r>
    <s v="ORD100871"/>
    <x v="23"/>
    <s v="CUST1442"/>
    <s v="Customer_371"/>
    <n v="22"/>
    <s v="Female"/>
    <s v="Pune"/>
    <s v="Book"/>
    <s v="Education"/>
    <n v="1"/>
    <n v="27918.98"/>
    <n v="27918.98"/>
  </r>
  <r>
    <s v="ORD100872"/>
    <x v="152"/>
    <s v="CUST2757"/>
    <s v="Customer_366"/>
    <n v="55"/>
    <s v="Male"/>
    <s v="Patna"/>
    <s v="Mobile"/>
    <s v="Electronics"/>
    <n v="3"/>
    <n v="21349.35"/>
    <n v="64048.05"/>
  </r>
  <r>
    <s v="ORD100873"/>
    <x v="198"/>
    <s v="CUST5319"/>
    <s v="Customer_129"/>
    <n v="35"/>
    <s v="Female"/>
    <s v="Mumbai"/>
    <s v="Mobile"/>
    <s v="Electronics"/>
    <n v="5"/>
    <n v="27648.52"/>
    <n v="138242.6"/>
  </r>
  <r>
    <s v="ORD100874"/>
    <x v="53"/>
    <s v="CUST4391"/>
    <s v="Customer_214"/>
    <n v="36"/>
    <s v="Male"/>
    <s v="Hyderabad"/>
    <s v="Mobile"/>
    <s v="Electronics"/>
    <n v="5"/>
    <n v="39484.31"/>
    <n v="197421.55"/>
  </r>
  <r>
    <s v="ORD100875"/>
    <x v="277"/>
    <s v="CUST7317"/>
    <s v="Customer_304"/>
    <n v="25"/>
    <s v="Male"/>
    <s v="Delhi"/>
    <s v="Chair"/>
    <s v="Furniture"/>
    <n v="6"/>
    <n v="2417.66"/>
    <n v="14505.96"/>
  </r>
  <r>
    <s v="ORD100876"/>
    <x v="15"/>
    <s v="CUST7473"/>
    <s v="Customer_372"/>
    <n v="36"/>
    <s v="Female"/>
    <s v="Mumbai"/>
    <s v="Rice"/>
    <s v="Grocery"/>
    <n v="5"/>
    <n v="40104.71"/>
    <n v="200523.55"/>
  </r>
  <r>
    <s v="ORD100877"/>
    <x v="91"/>
    <s v="CUST9104"/>
    <s v="Customer_443"/>
    <n v="37"/>
    <s v="Male"/>
    <s v="Bengaluru"/>
    <s v="Book"/>
    <s v="Education"/>
    <n v="4"/>
    <n v="22929.61"/>
    <n v="91718.44"/>
  </r>
  <r>
    <s v="ORD100878"/>
    <x v="329"/>
    <s v="CUST7091"/>
    <s v="Customer_1"/>
    <n v="48"/>
    <s v="Female"/>
    <s v="Mumbai"/>
    <s v="Rice"/>
    <s v="Grocery"/>
    <n v="10"/>
    <n v="23757.31"/>
    <n v="237573.1"/>
  </r>
  <r>
    <s v="ORD100879"/>
    <x v="330"/>
    <s v="CUST1258"/>
    <s v="Customer_443"/>
    <n v="40"/>
    <s v="Male"/>
    <s v="Hyderabad"/>
    <s v="Laptop"/>
    <s v="Electronics"/>
    <n v="7"/>
    <n v="6769.87"/>
    <n v="47389.09"/>
  </r>
  <r>
    <s v="ORD100880"/>
    <x v="331"/>
    <s v="CUST1691"/>
    <s v="Customer_177"/>
    <n v="55"/>
    <s v="Male"/>
    <s v="Mumbai"/>
    <s v="Mobile"/>
    <s v="Electronics"/>
    <n v="2"/>
    <n v="7104.93"/>
    <n v="14209.86"/>
  </r>
  <r>
    <s v="ORD100881"/>
    <x v="282"/>
    <s v="CUST9404"/>
    <s v="Customer_463"/>
    <n v="19"/>
    <s v="Female"/>
    <s v="Gaya"/>
    <s v="Book"/>
    <s v="Education"/>
    <n v="2"/>
    <n v="35430.53"/>
    <n v="70861.06"/>
  </r>
  <r>
    <s v="ORD100882"/>
    <x v="260"/>
    <s v="CUST6532"/>
    <s v="Customer_187"/>
    <n v="43"/>
    <s v="Female"/>
    <s v="Hyderabad"/>
    <s v="Rice"/>
    <s v="Grocery"/>
    <n v="8"/>
    <n v="44811.59"/>
    <n v="358492.72"/>
  </r>
  <r>
    <s v="ORD100883"/>
    <x v="129"/>
    <s v="CUST1779"/>
    <s v="Customer_378"/>
    <n v="65"/>
    <s v="Female"/>
    <s v="Delhi"/>
    <s v="Shoes"/>
    <s v="Fashion"/>
    <n v="10"/>
    <n v="16661.37"/>
    <n v="166613.70000000001"/>
  </r>
  <r>
    <s v="ORD100884"/>
    <x v="36"/>
    <s v="CUST4651"/>
    <s v="Customer_359"/>
    <n v="54"/>
    <s v="Male"/>
    <s v="Kolkata"/>
    <s v="Mobile"/>
    <s v="Electronics"/>
    <n v="7"/>
    <n v="14207.04"/>
    <n v="99449.279999999999"/>
  </r>
  <r>
    <s v="ORD100885"/>
    <x v="204"/>
    <s v="CUST9027"/>
    <s v="Customer_153"/>
    <n v="43"/>
    <s v="Female"/>
    <s v="Mumbai"/>
    <s v="Shoes"/>
    <s v="Fashion"/>
    <n v="8"/>
    <n v="3220.99"/>
    <n v="25767.919999999998"/>
  </r>
  <r>
    <s v="ORD100886"/>
    <x v="332"/>
    <s v="CUST1396"/>
    <s v="Customer_479"/>
    <n v="34"/>
    <s v="Male"/>
    <s v="Pune"/>
    <s v="Chair"/>
    <s v="Furniture"/>
    <n v="1"/>
    <n v="21572.48"/>
    <n v="21572.48"/>
  </r>
  <r>
    <s v="ORD100887"/>
    <x v="54"/>
    <s v="CUST9132"/>
    <s v="Customer_210"/>
    <n v="21"/>
    <s v="Female"/>
    <s v="Pune"/>
    <s v="Rice"/>
    <s v="Grocery"/>
    <n v="8"/>
    <n v="38808.879999999997"/>
    <n v="310471.03999999998"/>
  </r>
  <r>
    <s v="ORD100888"/>
    <x v="184"/>
    <s v="CUST4926"/>
    <s v="Customer_102"/>
    <n v="45"/>
    <s v="Male"/>
    <s v="Delhi"/>
    <s v="Book"/>
    <s v="Education"/>
    <n v="2"/>
    <n v="6525.25"/>
    <n v="13050.5"/>
  </r>
  <r>
    <s v="ORD100889"/>
    <x v="108"/>
    <s v="CUST3987"/>
    <s v="Customer_126"/>
    <n v="55"/>
    <s v="Female"/>
    <s v="Pune"/>
    <s v="Rice"/>
    <s v="Grocery"/>
    <n v="9"/>
    <n v="36721.83"/>
    <n v="330496.46999999997"/>
  </r>
  <r>
    <s v="ORD100890"/>
    <x v="14"/>
    <s v="CUST5136"/>
    <s v="Customer_257"/>
    <n v="30"/>
    <s v="Male"/>
    <s v="Mumbai"/>
    <s v="Rice"/>
    <s v="Grocery"/>
    <n v="1"/>
    <n v="16506.48"/>
    <n v="16506.48"/>
  </r>
  <r>
    <s v="ORD100891"/>
    <x v="219"/>
    <s v="CUST8849"/>
    <s v="Customer_380"/>
    <n v="19"/>
    <s v="Female"/>
    <s v="Patna"/>
    <s v="Book"/>
    <s v="Education"/>
    <n v="4"/>
    <n v="45273.26"/>
    <n v="181093.04"/>
  </r>
  <r>
    <s v="ORD100892"/>
    <x v="42"/>
    <s v="CUST3603"/>
    <s v="Customer_448"/>
    <n v="56"/>
    <s v="Female"/>
    <s v="Delhi"/>
    <s v="Rice"/>
    <s v="Grocery"/>
    <n v="1"/>
    <n v="15061.67"/>
    <n v="15061.67"/>
  </r>
  <r>
    <s v="ORD100893"/>
    <x v="330"/>
    <s v="CUST4073"/>
    <s v="Customer_353"/>
    <n v="25"/>
    <s v="Female"/>
    <s v="Pune"/>
    <s v="Shoes"/>
    <s v="Fashion"/>
    <n v="3"/>
    <n v="30814.91"/>
    <n v="92444.73"/>
  </r>
  <r>
    <s v="ORD100894"/>
    <x v="297"/>
    <s v="CUST7068"/>
    <s v="Customer_106"/>
    <n v="24"/>
    <s v="Male"/>
    <s v="Hyderabad"/>
    <s v="Book"/>
    <s v="Education"/>
    <n v="8"/>
    <n v="36507.56"/>
    <n v="292060.48"/>
  </r>
  <r>
    <s v="ORD100895"/>
    <x v="35"/>
    <s v="CUST5762"/>
    <s v="Customer_404"/>
    <n v="20"/>
    <s v="Female"/>
    <s v="Mumbai"/>
    <s v="Book"/>
    <s v="Education"/>
    <n v="1"/>
    <n v="31247.14"/>
    <n v="31247.14"/>
  </r>
  <r>
    <s v="ORD100896"/>
    <x v="326"/>
    <s v="CUST1611"/>
    <s v="Customer_451"/>
    <n v="49"/>
    <s v="Male"/>
    <s v="Patna"/>
    <s v="Rice"/>
    <s v="Grocery"/>
    <n v="3"/>
    <n v="15350"/>
    <n v="46050"/>
  </r>
  <r>
    <s v="ORD100897"/>
    <x v="138"/>
    <s v="CUST1806"/>
    <s v="Customer_354"/>
    <n v="58"/>
    <s v="Male"/>
    <s v="Patna"/>
    <s v="Chair"/>
    <s v="Furniture"/>
    <n v="9"/>
    <n v="7148.05"/>
    <n v="64332.45"/>
  </r>
  <r>
    <s v="ORD100898"/>
    <x v="89"/>
    <s v="CUST4730"/>
    <s v="Customer_484"/>
    <n v="20"/>
    <s v="Female"/>
    <s v="Patna"/>
    <s v="Laptop"/>
    <s v="Electronics"/>
    <n v="8"/>
    <n v="25411.08"/>
    <n v="203288.64"/>
  </r>
  <r>
    <s v="ORD100899"/>
    <x v="81"/>
    <s v="CUST7164"/>
    <s v="Customer_251"/>
    <n v="64"/>
    <s v="Male"/>
    <s v="Pune"/>
    <s v="Shoes"/>
    <s v="Fashion"/>
    <n v="10"/>
    <n v="28254.51"/>
    <n v="282545.09999999998"/>
  </r>
  <r>
    <s v="ORD100900"/>
    <x v="145"/>
    <s v="CUST3867"/>
    <s v="Customer_54"/>
    <m/>
    <s v="Female"/>
    <m/>
    <s v="Laptop"/>
    <s v="Electronics"/>
    <n v="5"/>
    <n v="5069.79"/>
    <n v="25348.95"/>
  </r>
  <r>
    <s v="ORD100901"/>
    <x v="64"/>
    <s v="CUST6152"/>
    <s v="Customer_438"/>
    <n v="39"/>
    <s v="Female"/>
    <s v="Bengaluru"/>
    <s v="Mobile"/>
    <s v="Electronics"/>
    <n v="3"/>
    <n v="39619.15"/>
    <n v="118857.45"/>
  </r>
  <r>
    <s v="ORD100902"/>
    <x v="149"/>
    <s v="CUST6881"/>
    <s v="Customer_158"/>
    <n v="41"/>
    <s v="Female"/>
    <s v="Delhi"/>
    <s v="Laptop"/>
    <s v="Electronics"/>
    <n v="7"/>
    <n v="42494.73"/>
    <n v="297463.11"/>
  </r>
  <r>
    <s v="ORD100903"/>
    <x v="86"/>
    <s v="CUST3438"/>
    <s v="Customer_98"/>
    <n v="56"/>
    <s v="Male"/>
    <s v="Patna"/>
    <s v="Shoes"/>
    <s v="Fashion"/>
    <n v="6"/>
    <n v="24739.29"/>
    <n v="148435.74"/>
  </r>
  <r>
    <s v="ORD100904"/>
    <x v="108"/>
    <s v="CUST1890"/>
    <s v="Customer_277"/>
    <n v="21"/>
    <s v="Male"/>
    <s v="Gaya"/>
    <s v="Chair"/>
    <s v="Furniture"/>
    <n v="3"/>
    <n v="43166.95"/>
    <n v="129500.85"/>
  </r>
  <r>
    <s v="ORD100905"/>
    <x v="139"/>
    <s v="CUST9994"/>
    <s v="Customer_13"/>
    <n v="49"/>
    <s v="Male"/>
    <s v="Delhi"/>
    <s v="Chair"/>
    <s v="Furniture"/>
    <n v="6"/>
    <n v="43613.07"/>
    <n v="261678.42"/>
  </r>
  <r>
    <s v="ORD100906"/>
    <x v="297"/>
    <s v="CUST1906"/>
    <s v="Customer_76"/>
    <n v="36"/>
    <s v="Male"/>
    <s v="Hyderabad"/>
    <s v="Chair"/>
    <s v="Furniture"/>
    <n v="2"/>
    <n v="20357.349999999999"/>
    <n v="40714.699999999997"/>
  </r>
  <r>
    <s v="ORD100907"/>
    <x v="333"/>
    <s v="CUST4977"/>
    <s v="Customer_359"/>
    <n v="33"/>
    <s v="Male"/>
    <s v="Mumbai"/>
    <s v="Chair"/>
    <s v="Furniture"/>
    <n v="5"/>
    <n v="40193.89"/>
    <n v="200969.45"/>
  </r>
  <r>
    <s v="ORD100908"/>
    <x v="241"/>
    <s v="CUST6241"/>
    <s v="Customer_242"/>
    <n v="55"/>
    <s v="Male"/>
    <s v="Hyderabad"/>
    <s v="Chair"/>
    <s v="Furniture"/>
    <n v="2"/>
    <n v="9063.83"/>
    <n v="18127.66"/>
  </r>
  <r>
    <s v="ORD100909"/>
    <x v="299"/>
    <s v="CUST1759"/>
    <s v="Customer_71"/>
    <n v="64"/>
    <s v="Female"/>
    <s v="Delhi"/>
    <s v="Laptop"/>
    <s v="Electronics"/>
    <n v="5"/>
    <n v="21830.06"/>
    <n v="109150.3"/>
  </r>
  <r>
    <s v="ORD100910"/>
    <x v="199"/>
    <s v="CUST4515"/>
    <s v="Customer_281"/>
    <n v="48"/>
    <s v="Female"/>
    <s v="Hyderabad"/>
    <s v="Rice"/>
    <s v="Grocery"/>
    <n v="2"/>
    <n v="39424.04"/>
    <n v="78848.08"/>
  </r>
  <r>
    <s v="ORD100911"/>
    <x v="224"/>
    <s v="CUST6309"/>
    <s v="Customer_345"/>
    <n v="55"/>
    <s v="Female"/>
    <s v="Mumbai"/>
    <s v="Rice"/>
    <s v="Grocery"/>
    <n v="2"/>
    <n v="30743.1"/>
    <n v="61486.2"/>
  </r>
  <r>
    <s v="ORD100912"/>
    <x v="109"/>
    <s v="CUST2384"/>
    <s v="Customer_365"/>
    <n v="49"/>
    <s v="Male"/>
    <s v="Gaya"/>
    <s v="Laptop"/>
    <s v="Electronics"/>
    <n v="3"/>
    <n v="10131.58"/>
    <n v="30394.74"/>
  </r>
  <r>
    <s v="ORD100913"/>
    <x v="170"/>
    <s v="CUST5025"/>
    <s v="Customer_159"/>
    <n v="28"/>
    <s v="Female"/>
    <s v="Patna"/>
    <s v="Book"/>
    <s v="Education"/>
    <n v="1"/>
    <n v="20875.52"/>
    <n v="20875.52"/>
  </r>
  <r>
    <s v="ORD100914"/>
    <x v="199"/>
    <s v="CUST5363"/>
    <s v="Customer_86"/>
    <n v="22"/>
    <s v="Female"/>
    <s v="Pune"/>
    <s v="Shoes"/>
    <s v="Fashion"/>
    <n v="3"/>
    <n v="43152.69"/>
    <n v="129458.07"/>
  </r>
  <r>
    <s v="ORD100915"/>
    <x v="320"/>
    <s v="CUST1753"/>
    <s v="Customer_493"/>
    <n v="58"/>
    <s v="Female"/>
    <s v="Hyderabad"/>
    <s v="Shoes"/>
    <s v="Fashion"/>
    <n v="1"/>
    <n v="3239.94"/>
    <n v="3239.94"/>
  </r>
  <r>
    <s v="ORD100916"/>
    <x v="47"/>
    <s v="CUST7186"/>
    <s v="Customer_150"/>
    <n v="36"/>
    <s v="Female"/>
    <s v="Mumbai"/>
    <s v="Shoes"/>
    <s v="Fashion"/>
    <n v="1"/>
    <n v="10625.65"/>
    <n v="10625.65"/>
  </r>
  <r>
    <s v="ORD100917"/>
    <x v="240"/>
    <s v="CUST2804"/>
    <s v="Customer_115"/>
    <n v="32"/>
    <s v="Female"/>
    <s v="Pune"/>
    <s v="Mobile"/>
    <s v="Electronics"/>
    <n v="3"/>
    <n v="30169.38"/>
    <n v="90508.14"/>
  </r>
  <r>
    <s v="ORD100918"/>
    <x v="266"/>
    <s v="CUST1997"/>
    <s v="Customer_219"/>
    <n v="29"/>
    <s v="Female"/>
    <s v="Patna"/>
    <s v="Mobile"/>
    <s v="Electronics"/>
    <n v="2"/>
    <n v="29914.46"/>
    <n v="59828.92"/>
  </r>
  <r>
    <s v="ORD100919"/>
    <x v="149"/>
    <s v="CUST7609"/>
    <s v="Customer_327"/>
    <n v="41"/>
    <s v="Female"/>
    <s v="Pune"/>
    <s v="Shoes"/>
    <s v="Fashion"/>
    <n v="5"/>
    <n v="30991.63"/>
    <n v="154958.15"/>
  </r>
  <r>
    <s v="ORD100920"/>
    <x v="259"/>
    <s v="CUST7026"/>
    <s v="Customer_105"/>
    <n v="36"/>
    <s v="Female"/>
    <s v="Bengaluru"/>
    <s v="Mobile"/>
    <s v="Electronics"/>
    <n v="7"/>
    <n v="15799.46"/>
    <n v="110596.22"/>
  </r>
  <r>
    <s v="ORD100921"/>
    <x v="11"/>
    <s v="CUST6414"/>
    <s v="Customer_82"/>
    <n v="30"/>
    <s v="Male"/>
    <s v="Delhi"/>
    <s v="Mobile"/>
    <s v="Electronics"/>
    <n v="6"/>
    <n v="10404.98"/>
    <n v="62429.88"/>
  </r>
  <r>
    <s v="ORD100922"/>
    <x v="16"/>
    <s v="CUST3652"/>
    <s v="Customer_436"/>
    <n v="59"/>
    <s v="Male"/>
    <s v="Hyderabad"/>
    <s v="Book"/>
    <s v="Education"/>
    <n v="1"/>
    <n v="21496.95"/>
    <n v="21496.95"/>
  </r>
  <r>
    <s v="ORD100923"/>
    <x v="331"/>
    <s v="CUST4106"/>
    <s v="Customer_226"/>
    <n v="33"/>
    <s v="Male"/>
    <s v="Gaya"/>
    <s v="Rice"/>
    <s v="Grocery"/>
    <n v="7"/>
    <n v="42785.56"/>
    <n v="299498.92"/>
  </r>
  <r>
    <s v="ORD100924"/>
    <x v="301"/>
    <s v="CUST7933"/>
    <s v="Customer_232"/>
    <n v="50"/>
    <s v="Male"/>
    <s v="Bengaluru"/>
    <s v="Rice"/>
    <s v="Grocery"/>
    <n v="10"/>
    <n v="9123.6"/>
    <n v="91236"/>
  </r>
  <r>
    <s v="ORD100925"/>
    <x v="244"/>
    <s v="CUST9299"/>
    <s v="Customer_13"/>
    <n v="62"/>
    <s v="Female"/>
    <s v="Delhi"/>
    <s v="Mobile"/>
    <s v="Electronics"/>
    <n v="6"/>
    <n v="35834.15"/>
    <n v="215004.9"/>
  </r>
  <r>
    <s v="ORD100926"/>
    <x v="82"/>
    <s v="CUST5160"/>
    <s v="Customer_144"/>
    <n v="52"/>
    <s v="Female"/>
    <s v="Delhi"/>
    <s v="Book"/>
    <s v="Education"/>
    <n v="3"/>
    <n v="653.97"/>
    <n v="1961.91"/>
  </r>
  <r>
    <s v="ORD100927"/>
    <x v="296"/>
    <s v="CUST2260"/>
    <s v="Customer_325"/>
    <n v="54"/>
    <s v="Male"/>
    <s v="Kolkata"/>
    <s v="Mobile"/>
    <s v="Electronics"/>
    <n v="3"/>
    <n v="3846.65"/>
    <n v="11539.95"/>
  </r>
  <r>
    <s v="ORD100928"/>
    <x v="186"/>
    <s v="CUST7676"/>
    <s v="Customer_42"/>
    <n v="39"/>
    <s v="Female"/>
    <s v="Bengaluru"/>
    <s v="Rice"/>
    <s v="Grocery"/>
    <n v="10"/>
    <n v="40522.559999999998"/>
    <n v="405225.6"/>
  </r>
  <r>
    <s v="ORD100929"/>
    <x v="295"/>
    <s v="CUST7405"/>
    <s v="Customer_15"/>
    <n v="57"/>
    <s v="Male"/>
    <s v="Mumbai"/>
    <s v="Shoes"/>
    <s v="Fashion"/>
    <n v="4"/>
    <n v="39917.24"/>
    <n v="159668.96"/>
  </r>
  <r>
    <s v="ORD100930"/>
    <x v="52"/>
    <s v="CUST4565"/>
    <s v="Customer_359"/>
    <n v="65"/>
    <s v="Female"/>
    <s v="Delhi"/>
    <s v="Rice"/>
    <s v="Grocery"/>
    <n v="1"/>
    <n v="23886.69"/>
    <n v="23886.69"/>
  </r>
  <r>
    <s v="ORD100931"/>
    <x v="228"/>
    <s v="CUST6319"/>
    <s v="Customer_393"/>
    <n v="32"/>
    <s v="Female"/>
    <s v="Bengaluru"/>
    <s v="Shoes"/>
    <s v="Fashion"/>
    <n v="1"/>
    <n v="46629.03"/>
    <n v="46629.03"/>
  </r>
  <r>
    <s v="ORD100932"/>
    <x v="284"/>
    <s v="CUST4077"/>
    <s v="Customer_138"/>
    <n v="50"/>
    <s v="Male"/>
    <s v="Mumbai"/>
    <s v="Laptop"/>
    <s v="Electronics"/>
    <n v="4"/>
    <n v="27478.45"/>
    <n v="109913.8"/>
  </r>
  <r>
    <s v="ORD100933"/>
    <x v="334"/>
    <s v="CUST8537"/>
    <s v="Customer_494"/>
    <n v="50"/>
    <s v="Female"/>
    <s v="Hyderabad"/>
    <s v="Laptop"/>
    <s v="Electronics"/>
    <n v="8"/>
    <n v="4925.05"/>
    <n v="39400.400000000001"/>
  </r>
  <r>
    <s v="ORD100934"/>
    <x v="175"/>
    <s v="CUST6407"/>
    <s v="Customer_107"/>
    <n v="63"/>
    <s v="Male"/>
    <s v="Kolkata"/>
    <s v="Shoes"/>
    <s v="Fashion"/>
    <n v="8"/>
    <n v="35023.64"/>
    <n v="280189.12"/>
  </r>
  <r>
    <s v="ORD100935"/>
    <x v="163"/>
    <s v="CUST2025"/>
    <s v="Customer_239"/>
    <n v="37"/>
    <s v="Female"/>
    <s v="Delhi"/>
    <s v="Chair"/>
    <s v="Furniture"/>
    <n v="2"/>
    <n v="49387.199999999997"/>
    <n v="98774.399999999994"/>
  </r>
  <r>
    <s v="ORD100936"/>
    <x v="335"/>
    <s v="CUST1122"/>
    <s v="Customer_447"/>
    <n v="65"/>
    <s v="Female"/>
    <s v="Kolkata"/>
    <s v="Rice"/>
    <s v="Grocery"/>
    <n v="4"/>
    <n v="30607.95"/>
    <n v="122431.8"/>
  </r>
  <r>
    <s v="ORD100937"/>
    <x v="29"/>
    <s v="CUST1997"/>
    <s v="Customer_437"/>
    <n v="40"/>
    <s v="Male"/>
    <s v="Patna"/>
    <s v="Chair"/>
    <s v="Furniture"/>
    <n v="10"/>
    <n v="7627.77"/>
    <n v="76277.7"/>
  </r>
  <r>
    <s v="ORD100938"/>
    <x v="328"/>
    <s v="CUST9287"/>
    <s v="Customer_420"/>
    <n v="30"/>
    <s v="Male"/>
    <s v="Pune"/>
    <s v="Shoes"/>
    <s v="Fashion"/>
    <n v="3"/>
    <n v="44146.06"/>
    <n v="132438.18"/>
  </r>
  <r>
    <s v="ORD100939"/>
    <x v="247"/>
    <s v="CUST5413"/>
    <s v="Customer_20"/>
    <n v="62"/>
    <s v="Male"/>
    <s v="Bengaluru"/>
    <s v="Laptop"/>
    <s v="Electronics"/>
    <n v="7"/>
    <n v="31015.64"/>
    <n v="217109.48"/>
  </r>
  <r>
    <s v="ORD100940"/>
    <x v="260"/>
    <s v="CUST8466"/>
    <s v="Customer_66"/>
    <n v="43"/>
    <s v="Male"/>
    <s v="Hyderabad"/>
    <s v="Laptop"/>
    <s v="Electronics"/>
    <n v="1"/>
    <n v="47743.08"/>
    <n v="47743.08"/>
  </r>
  <r>
    <s v="ORD100941"/>
    <x v="336"/>
    <s v="CUST9493"/>
    <s v="Customer_34"/>
    <n v="35"/>
    <s v="Male"/>
    <s v="Gaya"/>
    <s v="Laptop"/>
    <s v="Electronics"/>
    <n v="10"/>
    <n v="12754.35"/>
    <n v="127543.5"/>
  </r>
  <r>
    <s v="ORD100942"/>
    <x v="175"/>
    <s v="CUST3576"/>
    <s v="Customer_397"/>
    <n v="53"/>
    <s v="Male"/>
    <s v="Hyderabad"/>
    <s v="Laptop"/>
    <s v="Electronics"/>
    <n v="7"/>
    <n v="45883.95"/>
    <n v="321187.65000000002"/>
  </r>
  <r>
    <s v="ORD100943"/>
    <x v="287"/>
    <s v="CUST2586"/>
    <s v="Customer_386"/>
    <n v="64"/>
    <s v="Male"/>
    <s v="Pune"/>
    <s v="Laptop"/>
    <s v="Electronics"/>
    <n v="5"/>
    <n v="16990.849999999999"/>
    <n v="84954.25"/>
  </r>
  <r>
    <s v="ORD100944"/>
    <x v="160"/>
    <s v="CUST3499"/>
    <s v="Customer_139"/>
    <n v="20"/>
    <s v="Male"/>
    <s v="Mumbai"/>
    <s v="Chair"/>
    <s v="Furniture"/>
    <n v="2"/>
    <n v="20191.53"/>
    <n v="40383.06"/>
  </r>
  <r>
    <s v="ORD100945"/>
    <x v="332"/>
    <s v="CUST7718"/>
    <s v="Customer_293"/>
    <n v="26"/>
    <s v="Male"/>
    <s v="Delhi"/>
    <s v="Mobile"/>
    <s v="Electronics"/>
    <n v="8"/>
    <n v="46866.95"/>
    <n v="374935.6"/>
  </r>
  <r>
    <s v="ORD100946"/>
    <x v="337"/>
    <s v="CUST3330"/>
    <s v="Customer_450"/>
    <n v="62"/>
    <s v="Female"/>
    <s v="Hyderabad"/>
    <s v="Mobile"/>
    <s v="Electronics"/>
    <n v="8"/>
    <n v="20319.29"/>
    <n v="162554.32"/>
  </r>
  <r>
    <s v="ORD100947"/>
    <x v="284"/>
    <s v="CUST9113"/>
    <s v="Customer_175"/>
    <n v="61"/>
    <s v="Male"/>
    <s v="Hyderabad"/>
    <s v="Book"/>
    <s v="Education"/>
    <n v="6"/>
    <n v="31857.18"/>
    <n v="191143.08"/>
  </r>
  <r>
    <s v="ORD100948"/>
    <x v="151"/>
    <s v="CUST1004"/>
    <s v="Customer_191"/>
    <n v="64"/>
    <s v="Female"/>
    <s v="Bengaluru"/>
    <s v="Mobile"/>
    <s v="Electronics"/>
    <n v="2"/>
    <n v="4160.7700000000004"/>
    <n v="8321.5400000000009"/>
  </r>
  <r>
    <s v="ORD100949"/>
    <x v="338"/>
    <s v="CUST8381"/>
    <s v="Customer_112"/>
    <n v="40"/>
    <s v="Male"/>
    <s v="Kolkata"/>
    <s v="Book"/>
    <s v="Education"/>
    <n v="10"/>
    <n v="47314.42"/>
    <n v="473144.2"/>
  </r>
  <r>
    <s v="ORD100950"/>
    <x v="163"/>
    <s v="CUST6316"/>
    <s v="Customer_59"/>
    <m/>
    <s v="Male"/>
    <s v="Pune"/>
    <s v="Laptop"/>
    <s v="Electronics"/>
    <n v="9"/>
    <n v="34569.56"/>
    <n v="311126.03999999998"/>
  </r>
  <r>
    <s v="ORD100951"/>
    <x v="338"/>
    <s v="CUST2403"/>
    <s v="Customer_258"/>
    <n v="22"/>
    <s v="Male"/>
    <s v="Pune"/>
    <s v="Mobile"/>
    <s v="Electronics"/>
    <n v="8"/>
    <n v="29747.29"/>
    <n v="237978.32"/>
  </r>
  <r>
    <s v="ORD100952"/>
    <x v="88"/>
    <s v="CUST1357"/>
    <s v="Customer_361"/>
    <n v="48"/>
    <s v="Male"/>
    <s v="Delhi"/>
    <s v="Shoes"/>
    <s v="Fashion"/>
    <n v="8"/>
    <n v="24450.18"/>
    <n v="195601.44"/>
  </r>
  <r>
    <s v="ORD100953"/>
    <x v="8"/>
    <s v="CUST4337"/>
    <s v="Customer_269"/>
    <n v="53"/>
    <s v="Female"/>
    <s v="Kolkata"/>
    <s v="Mobile"/>
    <s v="Electronics"/>
    <n v="4"/>
    <n v="13994.12"/>
    <n v="55976.480000000003"/>
  </r>
  <r>
    <s v="ORD100954"/>
    <x v="218"/>
    <s v="CUST9175"/>
    <s v="Customer_441"/>
    <n v="36"/>
    <s v="Male"/>
    <s v="Mumbai"/>
    <s v="Shoes"/>
    <s v="Fashion"/>
    <n v="9"/>
    <n v="23583.66"/>
    <n v="212252.94"/>
  </r>
  <r>
    <s v="ORD100955"/>
    <x v="249"/>
    <s v="CUST7177"/>
    <s v="Customer_40"/>
    <n v="21"/>
    <s v="Male"/>
    <s v="Hyderabad"/>
    <s v="Shoes"/>
    <s v="Fashion"/>
    <n v="3"/>
    <n v="25138.65"/>
    <n v="75415.95"/>
  </r>
  <r>
    <s v="ORD100956"/>
    <x v="272"/>
    <s v="CUST9009"/>
    <s v="Customer_424"/>
    <n v="43"/>
    <s v="Male"/>
    <s v="Mumbai"/>
    <s v="Mobile"/>
    <s v="Electronics"/>
    <n v="3"/>
    <n v="25618.42"/>
    <n v="76855.259999999995"/>
  </r>
  <r>
    <s v="ORD100957"/>
    <x v="36"/>
    <s v="CUST8996"/>
    <s v="Customer_165"/>
    <n v="59"/>
    <s v="Male"/>
    <s v="Hyderabad"/>
    <s v="Shoes"/>
    <s v="Fashion"/>
    <n v="3"/>
    <n v="42044.69"/>
    <n v="126134.07"/>
  </r>
  <r>
    <s v="ORD100958"/>
    <x v="24"/>
    <s v="CUST3759"/>
    <s v="Customer_313"/>
    <n v="65"/>
    <s v="Female"/>
    <s v="Mumbai"/>
    <s v="Rice"/>
    <s v="Grocery"/>
    <n v="9"/>
    <n v="33475.97"/>
    <n v="301283.73"/>
  </r>
  <r>
    <s v="ORD100959"/>
    <x v="192"/>
    <s v="CUST9966"/>
    <s v="Customer_455"/>
    <n v="46"/>
    <s v="Female"/>
    <s v="Kolkata"/>
    <s v="Rice"/>
    <s v="Grocery"/>
    <n v="5"/>
    <n v="29215.06"/>
    <n v="146075.29999999999"/>
  </r>
  <r>
    <s v="ORD100050"/>
    <x v="172"/>
    <s v="CUST7188"/>
    <s v="Customer_89"/>
    <n v="62"/>
    <s v="Male"/>
    <s v="Bengaluru"/>
    <s v="Mobile"/>
    <s v="Electronics"/>
    <n v="1"/>
    <n v="34619.769999999997"/>
    <n v="34619.769999999997"/>
  </r>
  <r>
    <s v="ORD100961"/>
    <x v="143"/>
    <s v="CUST6311"/>
    <s v="Customer_257"/>
    <n v="65"/>
    <s v="Female"/>
    <s v="Mumbai"/>
    <s v="Book"/>
    <s v="Education"/>
    <n v="9"/>
    <n v="33480.07"/>
    <n v="301320.63"/>
  </r>
  <r>
    <s v="ORD100962"/>
    <x v="39"/>
    <s v="CUST8525"/>
    <s v="Customer_126"/>
    <n v="40"/>
    <s v="Female"/>
    <s v="Gaya"/>
    <s v="Shoes"/>
    <s v="Fashion"/>
    <n v="10"/>
    <n v="8532.9"/>
    <n v="85329"/>
  </r>
  <r>
    <s v="ORD100963"/>
    <x v="274"/>
    <s v="CUST9285"/>
    <s v="Customer_452"/>
    <n v="49"/>
    <s v="Female"/>
    <s v="Gaya"/>
    <s v="Laptop"/>
    <s v="Electronics"/>
    <n v="7"/>
    <n v="31899.759999999998"/>
    <n v="223298.32"/>
  </r>
  <r>
    <s v="ORD100964"/>
    <x v="259"/>
    <s v="CUST8387"/>
    <s v="Customer_133"/>
    <n v="48"/>
    <s v="Female"/>
    <s v="Bengaluru"/>
    <s v="Chair"/>
    <s v="Furniture"/>
    <n v="5"/>
    <n v="30847.69"/>
    <n v="154238.45000000001"/>
  </r>
  <r>
    <s v="ORD100965"/>
    <x v="44"/>
    <s v="CUST5726"/>
    <s v="Customer_192"/>
    <n v="20"/>
    <s v="Male"/>
    <s v="Pune"/>
    <s v="Mobile"/>
    <s v="Electronics"/>
    <n v="2"/>
    <n v="39578.6"/>
    <n v="79157.2"/>
  </r>
  <r>
    <s v="ORD100966"/>
    <x v="2"/>
    <s v="CUST7238"/>
    <s v="Customer_335"/>
    <n v="54"/>
    <s v="Female"/>
    <s v="Delhi"/>
    <s v="Mobile"/>
    <s v="Electronics"/>
    <n v="8"/>
    <n v="35028.53"/>
    <n v="280228.24"/>
  </r>
  <r>
    <s v="ORD100967"/>
    <x v="267"/>
    <s v="CUST3843"/>
    <s v="Customer_209"/>
    <n v="44"/>
    <s v="Female"/>
    <s v="Bengaluru"/>
    <s v="Mobile"/>
    <s v="Electronics"/>
    <n v="6"/>
    <n v="6287.85"/>
    <n v="37727.1"/>
  </r>
  <r>
    <s v="ORD100968"/>
    <x v="339"/>
    <s v="CUST7185"/>
    <s v="Customer_285"/>
    <n v="61"/>
    <s v="Female"/>
    <s v="Delhi"/>
    <s v="Chair"/>
    <s v="Furniture"/>
    <n v="3"/>
    <n v="32751.77"/>
    <n v="98255.31"/>
  </r>
  <r>
    <s v="ORD100969"/>
    <x v="243"/>
    <s v="CUST7757"/>
    <s v="Customer_494"/>
    <n v="58"/>
    <s v="Male"/>
    <s v="Mumbai"/>
    <s v="Laptop"/>
    <s v="Electronics"/>
    <n v="9"/>
    <n v="24421.73"/>
    <n v="219795.57"/>
  </r>
  <r>
    <s v="ORD100970"/>
    <x v="242"/>
    <s v="CUST1713"/>
    <s v="Customer_457"/>
    <n v="27"/>
    <s v="Female"/>
    <s v="Bengaluru"/>
    <s v="Shoes"/>
    <s v="Fashion"/>
    <n v="1"/>
    <n v="31739.18"/>
    <n v="31739.18"/>
  </r>
  <r>
    <s v="ORD100971"/>
    <x v="235"/>
    <s v="CUST6987"/>
    <s v="Customer_107"/>
    <n v="31"/>
    <s v="Female"/>
    <s v="Gaya"/>
    <s v="Rice"/>
    <s v="Grocery"/>
    <n v="1"/>
    <n v="6976.56"/>
    <n v="6976.56"/>
  </r>
  <r>
    <s v="ORD100972"/>
    <x v="165"/>
    <s v="CUST5829"/>
    <s v="Customer_37"/>
    <n v="32"/>
    <s v="Male"/>
    <s v="Delhi"/>
    <s v="Book"/>
    <s v="Education"/>
    <n v="4"/>
    <n v="9989.0400000000009"/>
    <n v="39956.160000000003"/>
  </r>
  <r>
    <s v="ORD100973"/>
    <x v="326"/>
    <s v="CUST2542"/>
    <s v="Customer_219"/>
    <n v="43"/>
    <s v="Male"/>
    <s v="Hyderabad"/>
    <s v="Laptop"/>
    <s v="Electronics"/>
    <n v="10"/>
    <n v="43146.39"/>
    <n v="431463.9"/>
  </r>
  <r>
    <s v="ORD100974"/>
    <x v="199"/>
    <s v="CUST4869"/>
    <s v="Customer_392"/>
    <n v="37"/>
    <s v="Male"/>
    <s v="Kolkata"/>
    <s v="Laptop"/>
    <s v="Electronics"/>
    <n v="10"/>
    <n v="48566.78"/>
    <n v="485667.8"/>
  </r>
  <r>
    <s v="ORD100975"/>
    <x v="95"/>
    <s v="CUST2870"/>
    <s v="Customer_311"/>
    <n v="25"/>
    <s v="Female"/>
    <m/>
    <s v="Book"/>
    <s v="Education"/>
    <n v="6"/>
    <n v="6189.16"/>
    <n v="37134.959999999999"/>
  </r>
  <r>
    <s v="ORD100976"/>
    <x v="264"/>
    <s v="CUST5338"/>
    <s v="Customer_269"/>
    <n v="22"/>
    <s v="Female"/>
    <s v="Patna"/>
    <s v="Shoes"/>
    <s v="Fashion"/>
    <n v="3"/>
    <n v="46910.35"/>
    <n v="140731.04999999999"/>
  </r>
  <r>
    <s v="ORD100977"/>
    <x v="212"/>
    <s v="CUST5373"/>
    <s v="Customer_256"/>
    <n v="24"/>
    <s v="Male"/>
    <s v="Delhi"/>
    <s v="Shoes"/>
    <s v="Fashion"/>
    <n v="1"/>
    <n v="25737.43"/>
    <n v="25737.43"/>
  </r>
  <r>
    <s v="ORD100978"/>
    <x v="34"/>
    <s v="CUST2256"/>
    <s v="Customer_284"/>
    <n v="50"/>
    <s v="Male"/>
    <s v="Hyderabad"/>
    <s v="Shoes"/>
    <s v="Fashion"/>
    <n v="3"/>
    <n v="38656.449999999997"/>
    <n v="115969.35"/>
  </r>
  <r>
    <s v="ORD100979"/>
    <x v="104"/>
    <s v="CUST7388"/>
    <s v="Customer_6"/>
    <n v="48"/>
    <s v="Male"/>
    <s v="Hyderabad"/>
    <s v="Rice"/>
    <s v="Grocery"/>
    <n v="6"/>
    <n v="44566.74"/>
    <n v="267400.44"/>
  </r>
  <r>
    <s v="ORD100980"/>
    <x v="233"/>
    <s v="CUST1159"/>
    <s v="Customer_492"/>
    <n v="30"/>
    <s v="Male"/>
    <s v="Pune"/>
    <s v="Laptop"/>
    <s v="Electronics"/>
    <n v="5"/>
    <n v="16513.54"/>
    <n v="82567.7"/>
  </r>
  <r>
    <s v="ORD100981"/>
    <x v="186"/>
    <s v="CUST9081"/>
    <s v="Customer_448"/>
    <n v="24"/>
    <s v="Male"/>
    <s v="Hyderabad"/>
    <s v="Book"/>
    <s v="Education"/>
    <n v="6"/>
    <n v="5066.4399999999996"/>
    <n v="30398.639999999999"/>
  </r>
  <r>
    <s v="ORD100982"/>
    <x v="67"/>
    <s v="CUST4003"/>
    <s v="Customer_305"/>
    <n v="54"/>
    <s v="Female"/>
    <s v="Bengaluru"/>
    <s v="Rice"/>
    <s v="Grocery"/>
    <n v="10"/>
    <n v="46852.2"/>
    <n v="468522"/>
  </r>
  <r>
    <s v="ORD100983"/>
    <x v="319"/>
    <s v="CUST6511"/>
    <s v="Customer_15"/>
    <n v="54"/>
    <s v="Male"/>
    <s v="Mumbai"/>
    <s v="Shoes"/>
    <s v="Fashion"/>
    <n v="3"/>
    <n v="18013.259999999998"/>
    <n v="54039.78"/>
  </r>
  <r>
    <s v="ORD100984"/>
    <x v="84"/>
    <s v="CUST2836"/>
    <s v="Customer_434"/>
    <n v="46"/>
    <s v="Female"/>
    <s v="Patna"/>
    <s v="Shoes"/>
    <s v="Fashion"/>
    <n v="4"/>
    <n v="36188.720000000001"/>
    <n v="144754.88"/>
  </r>
  <r>
    <s v="ORD100985"/>
    <x v="101"/>
    <s v="CUST3730"/>
    <s v="Customer_397"/>
    <n v="58"/>
    <s v="Female"/>
    <s v="Gaya"/>
    <s v="Chair"/>
    <s v="Furniture"/>
    <n v="3"/>
    <n v="33517.79"/>
    <n v="100553.37"/>
  </r>
  <r>
    <s v="ORD100986"/>
    <x v="100"/>
    <s v="CUST9945"/>
    <s v="Customer_495"/>
    <n v="24"/>
    <s v="Male"/>
    <s v="Hyderabad"/>
    <s v="Rice"/>
    <s v="Grocery"/>
    <n v="1"/>
    <n v="3375.35"/>
    <n v="3375.35"/>
  </r>
  <r>
    <s v="ORD100987"/>
    <x v="23"/>
    <s v="CUST1603"/>
    <s v="Customer_434"/>
    <n v="37"/>
    <s v="Female"/>
    <s v="Mumbai"/>
    <s v="Mobile"/>
    <s v="Electronics"/>
    <n v="4"/>
    <n v="34140.07"/>
    <n v="136560.28"/>
  </r>
  <r>
    <s v="ORD100988"/>
    <x v="153"/>
    <s v="CUST9871"/>
    <s v="Customer_187"/>
    <n v="27"/>
    <s v="Female"/>
    <s v="Pune"/>
    <s v="Mobile"/>
    <s v="Electronics"/>
    <n v="2"/>
    <n v="17345.150000000001"/>
    <n v="34690.300000000003"/>
  </r>
  <r>
    <s v="ORD100989"/>
    <x v="340"/>
    <s v="CUST2418"/>
    <s v="Customer_425"/>
    <n v="57"/>
    <s v="Male"/>
    <s v="Gaya"/>
    <s v="Chair"/>
    <s v="Furniture"/>
    <n v="2"/>
    <n v="46527.93"/>
    <n v="93055.86"/>
  </r>
  <r>
    <s v="ORD100990"/>
    <x v="70"/>
    <s v="CUST2126"/>
    <s v="Customer_385"/>
    <n v="34"/>
    <s v="Male"/>
    <s v="Patna"/>
    <s v="Rice"/>
    <s v="Grocery"/>
    <n v="1"/>
    <n v="21819.5"/>
    <n v="21819.5"/>
  </r>
  <r>
    <s v="ORD100991"/>
    <x v="229"/>
    <s v="CUST1284"/>
    <s v="Customer_375"/>
    <n v="31"/>
    <s v="Male"/>
    <s v="Bengaluru"/>
    <s v="Mobile"/>
    <s v="Electronics"/>
    <n v="4"/>
    <n v="26365.27"/>
    <n v="105461.08"/>
  </r>
  <r>
    <s v="ORD100992"/>
    <x v="341"/>
    <s v="CUST6389"/>
    <s v="Customer_484"/>
    <n v="27"/>
    <s v="Male"/>
    <s v="Kolkata"/>
    <s v="Chair"/>
    <s v="Furniture"/>
    <n v="9"/>
    <n v="34835.550000000003"/>
    <n v="313519.95"/>
  </r>
  <r>
    <s v="ORD100993"/>
    <x v="249"/>
    <s v="CUST9381"/>
    <s v="Customer_10"/>
    <n v="52"/>
    <s v="Male"/>
    <s v="Patna"/>
    <s v="Book"/>
    <s v="Education"/>
    <n v="8"/>
    <n v="44625.98"/>
    <n v="357007.84"/>
  </r>
  <r>
    <s v="ORD100994"/>
    <x v="99"/>
    <s v="CUST2967"/>
    <s v="Customer_483"/>
    <n v="52"/>
    <s v="Female"/>
    <s v="Mumbai"/>
    <s v="Chair"/>
    <s v="Furniture"/>
    <n v="5"/>
    <n v="7279.34"/>
    <n v="36396.699999999997"/>
  </r>
  <r>
    <s v="ORD100995"/>
    <x v="256"/>
    <s v="CUST9092"/>
    <s v="Customer_97"/>
    <n v="64"/>
    <s v="Male"/>
    <s v="Mumbai"/>
    <s v="Chair"/>
    <s v="Furniture"/>
    <n v="1"/>
    <n v="37930.19"/>
    <n v="37930.19"/>
  </r>
  <r>
    <s v="ORD100996"/>
    <x v="225"/>
    <s v="CUST9351"/>
    <s v="Customer_352"/>
    <n v="36"/>
    <s v="Male"/>
    <s v="Pune"/>
    <s v="Book"/>
    <s v="Education"/>
    <n v="9"/>
    <n v="44322.64"/>
    <n v="398903.76"/>
  </r>
  <r>
    <s v="ORD100997"/>
    <x v="84"/>
    <s v="CUST6410"/>
    <s v="Customer_301"/>
    <n v="61"/>
    <s v="Male"/>
    <s v="Gaya"/>
    <s v="Laptop"/>
    <s v="Electronics"/>
    <n v="9"/>
    <n v="35405.54"/>
    <n v="318649.86"/>
  </r>
  <r>
    <s v="ORD100998"/>
    <x v="319"/>
    <s v="CUST7618"/>
    <s v="Customer_154"/>
    <n v="25"/>
    <s v="Male"/>
    <s v="Gaya"/>
    <s v="Shoes"/>
    <s v="Fashion"/>
    <n v="5"/>
    <n v="18454.650000000001"/>
    <n v="92273.25"/>
  </r>
  <r>
    <s v="ORD100999"/>
    <x v="189"/>
    <s v="CUST9544"/>
    <s v="Customer_140"/>
    <n v="62"/>
    <s v="Female"/>
    <s v="Hyderabad"/>
    <s v="Laptop"/>
    <s v="Electronics"/>
    <n v="9"/>
    <n v="12971.59"/>
    <n v="116744.31"/>
  </r>
  <r>
    <s v="ORD101000"/>
    <x v="286"/>
    <s v="CUST9501"/>
    <s v="Customer_241"/>
    <m/>
    <s v="Male"/>
    <s v="Delhi"/>
    <s v="Mobile"/>
    <s v="Electronics"/>
    <n v="9"/>
    <n v="2879.01"/>
    <n v="25911.09"/>
  </r>
  <r>
    <s v="ORD101001"/>
    <x v="307"/>
    <s v="CUST2714"/>
    <s v="Customer_98"/>
    <n v="58"/>
    <s v="Female"/>
    <s v="Gaya"/>
    <s v="Chair"/>
    <s v="Furniture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B0CD7-9B1E-4438-8D91-C158C3FD9C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12">
    <pivotField showAll="0">
      <items count="9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showAll="0">
      <items count="344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x="342"/>
        <item t="default"/>
      </items>
    </pivotField>
    <pivotField showAll="0">
      <items count="949">
        <item x="899"/>
        <item x="53"/>
        <item x="806"/>
        <item x="373"/>
        <item x="12"/>
        <item x="203"/>
        <item x="301"/>
        <item x="512"/>
        <item x="562"/>
        <item x="657"/>
        <item x="614"/>
        <item x="141"/>
        <item x="889"/>
        <item x="520"/>
        <item x="778"/>
        <item x="928"/>
        <item x="346"/>
        <item x="683"/>
        <item x="300"/>
        <item x="442"/>
        <item x="238"/>
        <item x="180"/>
        <item x="303"/>
        <item x="86"/>
        <item x="611"/>
        <item x="419"/>
        <item x="435"/>
        <item x="836"/>
        <item x="702"/>
        <item x="937"/>
        <item x="9"/>
        <item x="503"/>
        <item x="285"/>
        <item x="140"/>
        <item x="903"/>
        <item x="240"/>
        <item x="842"/>
        <item x="539"/>
        <item x="541"/>
        <item x="22"/>
        <item x="526"/>
        <item x="650"/>
        <item x="188"/>
        <item x="829"/>
        <item x="222"/>
        <item x="603"/>
        <item x="458"/>
        <item x="276"/>
        <item x="563"/>
        <item x="167"/>
        <item x="378"/>
        <item x="315"/>
        <item x="398"/>
        <item x="49"/>
        <item x="498"/>
        <item x="341"/>
        <item x="933"/>
        <item x="852"/>
        <item x="336"/>
        <item x="486"/>
        <item x="765"/>
        <item x="274"/>
        <item x="725"/>
        <item x="774"/>
        <item x="266"/>
        <item x="638"/>
        <item x="645"/>
        <item x="837"/>
        <item x="452"/>
        <item x="219"/>
        <item x="919"/>
        <item x="307"/>
        <item x="870"/>
        <item x="6"/>
        <item x="865"/>
        <item x="306"/>
        <item x="414"/>
        <item x="178"/>
        <item x="839"/>
        <item x="533"/>
        <item x="735"/>
        <item x="853"/>
        <item x="69"/>
        <item x="215"/>
        <item x="480"/>
        <item x="601"/>
        <item x="574"/>
        <item x="436"/>
        <item x="62"/>
        <item x="860"/>
        <item x="862"/>
        <item x="151"/>
        <item x="318"/>
        <item x="564"/>
        <item x="463"/>
        <item x="75"/>
        <item x="780"/>
        <item x="813"/>
        <item x="709"/>
        <item x="597"/>
        <item x="268"/>
        <item x="873"/>
        <item x="26"/>
        <item x="250"/>
        <item x="888"/>
        <item x="493"/>
        <item x="438"/>
        <item x="531"/>
        <item x="340"/>
        <item x="50"/>
        <item x="104"/>
        <item x="218"/>
        <item x="660"/>
        <item x="319"/>
        <item x="936"/>
        <item x="394"/>
        <item x="714"/>
        <item x="273"/>
        <item x="73"/>
        <item x="625"/>
        <item x="94"/>
        <item x="824"/>
        <item x="647"/>
        <item x="412"/>
        <item x="154"/>
        <item x="379"/>
        <item x="926"/>
        <item x="881"/>
        <item x="120"/>
        <item x="85"/>
        <item x="161"/>
        <item x="556"/>
        <item x="113"/>
        <item x="59"/>
        <item x="588"/>
        <item x="747"/>
        <item x="122"/>
        <item x="868"/>
        <item x="528"/>
        <item x="902"/>
        <item x="58"/>
        <item x="935"/>
        <item x="121"/>
        <item x="201"/>
        <item x="202"/>
        <item x="313"/>
        <item x="265"/>
        <item x="144"/>
        <item x="25"/>
        <item x="3"/>
        <item x="544"/>
        <item x="321"/>
        <item x="922"/>
        <item x="762"/>
        <item x="159"/>
        <item x="70"/>
        <item x="894"/>
        <item x="711"/>
        <item x="664"/>
        <item x="331"/>
        <item x="723"/>
        <item x="469"/>
        <item x="671"/>
        <item x="317"/>
        <item x="502"/>
        <item x="35"/>
        <item x="384"/>
        <item x="640"/>
        <item x="453"/>
        <item x="309"/>
        <item x="54"/>
        <item x="421"/>
        <item x="47"/>
        <item x="479"/>
        <item x="946"/>
        <item x="522"/>
        <item x="681"/>
        <item x="830"/>
        <item x="437"/>
        <item x="198"/>
        <item x="55"/>
        <item x="707"/>
        <item x="339"/>
        <item x="107"/>
        <item x="872"/>
        <item x="483"/>
        <item x="652"/>
        <item x="704"/>
        <item x="810"/>
        <item x="487"/>
        <item x="931"/>
        <item x="760"/>
        <item x="242"/>
        <item x="132"/>
        <item x="729"/>
        <item x="128"/>
        <item x="116"/>
        <item x="21"/>
        <item x="644"/>
        <item x="721"/>
        <item x="424"/>
        <item x="197"/>
        <item x="413"/>
        <item x="939"/>
        <item x="755"/>
        <item x="217"/>
        <item x="110"/>
        <item x="193"/>
        <item x="615"/>
        <item x="42"/>
        <item x="361"/>
        <item x="464"/>
        <item x="323"/>
        <item x="135"/>
        <item x="299"/>
        <item x="347"/>
        <item x="673"/>
        <item x="253"/>
        <item x="505"/>
        <item x="310"/>
        <item x="579"/>
        <item x="1"/>
        <item x="382"/>
        <item x="667"/>
        <item x="247"/>
        <item x="214"/>
        <item x="768"/>
        <item x="118"/>
        <item x="101"/>
        <item x="29"/>
        <item x="11"/>
        <item x="641"/>
        <item x="757"/>
        <item x="796"/>
        <item x="349"/>
        <item x="407"/>
        <item x="356"/>
        <item x="656"/>
        <item x="766"/>
        <item x="756"/>
        <item x="550"/>
        <item x="643"/>
        <item x="823"/>
        <item x="897"/>
        <item x="275"/>
        <item x="389"/>
        <item x="377"/>
        <item x="179"/>
        <item x="386"/>
        <item x="183"/>
        <item x="195"/>
        <item x="428"/>
        <item x="820"/>
        <item x="859"/>
        <item x="402"/>
        <item x="429"/>
        <item x="291"/>
        <item x="546"/>
        <item x="602"/>
        <item x="895"/>
        <item x="17"/>
        <item x="169"/>
        <item x="576"/>
        <item x="748"/>
        <item x="173"/>
        <item x="745"/>
        <item x="631"/>
        <item x="893"/>
        <item x="732"/>
        <item x="175"/>
        <item x="848"/>
        <item x="372"/>
        <item x="226"/>
        <item x="538"/>
        <item x="189"/>
        <item x="876"/>
        <item x="182"/>
        <item x="227"/>
        <item x="124"/>
        <item x="815"/>
        <item x="662"/>
        <item x="194"/>
        <item x="28"/>
        <item x="87"/>
        <item x="769"/>
        <item x="165"/>
        <item x="470"/>
        <item x="719"/>
        <item x="461"/>
        <item x="812"/>
        <item x="684"/>
        <item x="495"/>
        <item x="596"/>
        <item x="909"/>
        <item x="231"/>
        <item x="353"/>
        <item x="825"/>
        <item x="328"/>
        <item x="511"/>
        <item x="112"/>
        <item x="103"/>
        <item x="554"/>
        <item x="519"/>
        <item x="162"/>
        <item x="916"/>
        <item x="698"/>
        <item x="730"/>
        <item x="856"/>
        <item x="277"/>
        <item x="152"/>
        <item x="334"/>
        <item x="482"/>
        <item x="746"/>
        <item x="5"/>
        <item x="659"/>
        <item x="527"/>
        <item x="845"/>
        <item x="33"/>
        <item x="929"/>
        <item x="171"/>
        <item x="142"/>
        <item x="686"/>
        <item x="368"/>
        <item x="170"/>
        <item x="849"/>
        <item x="886"/>
        <item x="517"/>
        <item x="243"/>
        <item x="578"/>
        <item x="713"/>
        <item x="877"/>
        <item x="624"/>
        <item x="663"/>
        <item x="828"/>
        <item x="148"/>
        <item x="156"/>
        <item x="595"/>
        <item x="476"/>
        <item x="290"/>
        <item x="423"/>
        <item x="84"/>
        <item x="473"/>
        <item x="418"/>
        <item x="666"/>
        <item x="417"/>
        <item x="448"/>
        <item x="904"/>
        <item x="16"/>
        <item x="279"/>
        <item x="832"/>
        <item x="396"/>
        <item x="577"/>
        <item x="676"/>
        <item x="811"/>
        <item x="586"/>
        <item x="490"/>
        <item x="375"/>
        <item x="585"/>
        <item x="592"/>
        <item x="56"/>
        <item x="866"/>
        <item x="316"/>
        <item x="690"/>
        <item x="634"/>
        <item x="701"/>
        <item x="653"/>
        <item x="884"/>
        <item x="532"/>
        <item x="633"/>
        <item x="406"/>
        <item x="350"/>
        <item x="668"/>
        <item x="395"/>
        <item x="245"/>
        <item x="537"/>
        <item x="92"/>
        <item x="840"/>
        <item x="376"/>
        <item x="621"/>
        <item x="172"/>
        <item x="256"/>
        <item x="405"/>
        <item x="212"/>
        <item x="77"/>
        <item x="548"/>
        <item x="854"/>
        <item x="271"/>
        <item x="680"/>
        <item x="177"/>
        <item x="46"/>
        <item x="129"/>
        <item x="208"/>
        <item x="462"/>
        <item x="184"/>
        <item x="4"/>
        <item x="613"/>
        <item x="139"/>
        <item x="149"/>
        <item x="293"/>
        <item x="427"/>
        <item x="923"/>
        <item x="105"/>
        <item x="827"/>
        <item x="767"/>
        <item x="844"/>
        <item x="609"/>
        <item x="776"/>
        <item x="45"/>
        <item x="826"/>
        <item x="71"/>
        <item x="468"/>
        <item x="817"/>
        <item x="863"/>
        <item x="783"/>
        <item x="426"/>
        <item x="200"/>
        <item x="651"/>
        <item x="100"/>
        <item x="515"/>
        <item x="869"/>
        <item x="166"/>
        <item x="314"/>
        <item x="30"/>
        <item x="232"/>
        <item x="93"/>
        <item x="280"/>
        <item x="392"/>
        <item x="157"/>
        <item x="388"/>
        <item x="244"/>
        <item x="524"/>
        <item x="846"/>
        <item x="43"/>
        <item x="635"/>
        <item x="658"/>
        <item x="880"/>
        <item x="190"/>
        <item x="593"/>
        <item x="150"/>
        <item x="553"/>
        <item x="153"/>
        <item x="225"/>
        <item x="97"/>
        <item x="516"/>
        <item x="742"/>
        <item x="534"/>
        <item x="332"/>
        <item x="700"/>
        <item x="362"/>
        <item x="831"/>
        <item x="924"/>
        <item x="213"/>
        <item x="459"/>
        <item x="80"/>
        <item x="925"/>
        <item x="155"/>
        <item x="63"/>
        <item x="798"/>
        <item x="297"/>
        <item x="890"/>
        <item x="739"/>
        <item x="251"/>
        <item x="750"/>
        <item x="399"/>
        <item x="549"/>
        <item x="807"/>
        <item x="111"/>
        <item x="246"/>
        <item x="809"/>
        <item x="358"/>
        <item x="696"/>
        <item x="743"/>
        <item x="628"/>
        <item x="48"/>
        <item x="108"/>
        <item x="0"/>
        <item x="525"/>
        <item x="387"/>
        <item x="800"/>
        <item x="186"/>
        <item x="794"/>
        <item x="78"/>
        <item x="391"/>
        <item x="325"/>
        <item x="715"/>
        <item x="449"/>
        <item x="763"/>
        <item x="914"/>
        <item x="351"/>
        <item x="851"/>
        <item x="441"/>
        <item x="397"/>
        <item x="555"/>
        <item x="18"/>
        <item x="921"/>
        <item x="369"/>
        <item x="777"/>
        <item x="36"/>
        <item x="66"/>
        <item x="805"/>
        <item x="584"/>
        <item x="44"/>
        <item x="102"/>
        <item x="408"/>
        <item x="329"/>
        <item x="235"/>
        <item x="181"/>
        <item x="284"/>
        <item x="561"/>
        <item x="295"/>
        <item x="393"/>
        <item x="326"/>
        <item x="233"/>
        <item x="688"/>
        <item x="239"/>
        <item x="744"/>
        <item x="446"/>
        <item x="364"/>
        <item x="27"/>
        <item x="857"/>
        <item x="789"/>
        <item x="269"/>
        <item x="383"/>
        <item x="304"/>
        <item x="192"/>
        <item x="61"/>
        <item x="126"/>
        <item x="864"/>
        <item x="491"/>
        <item x="509"/>
        <item x="728"/>
        <item x="648"/>
        <item x="867"/>
        <item x="910"/>
        <item x="589"/>
        <item x="901"/>
        <item x="885"/>
        <item x="779"/>
        <item x="784"/>
        <item x="257"/>
        <item x="718"/>
        <item x="938"/>
        <item x="523"/>
        <item x="278"/>
        <item x="942"/>
        <item x="13"/>
        <item x="875"/>
        <item x="616"/>
        <item x="608"/>
        <item x="411"/>
        <item x="771"/>
        <item x="272"/>
        <item x="354"/>
        <item x="19"/>
        <item x="930"/>
        <item x="207"/>
        <item x="230"/>
        <item x="374"/>
        <item x="24"/>
        <item x="294"/>
        <item x="792"/>
        <item x="199"/>
        <item x="754"/>
        <item x="751"/>
        <item x="703"/>
        <item x="241"/>
        <item x="260"/>
        <item x="619"/>
        <item x="390"/>
        <item x="91"/>
        <item x="677"/>
        <item x="138"/>
        <item x="125"/>
        <item x="403"/>
        <item x="685"/>
        <item x="557"/>
        <item x="416"/>
        <item x="679"/>
        <item x="599"/>
        <item x="642"/>
        <item x="691"/>
        <item x="499"/>
        <item x="513"/>
        <item x="106"/>
        <item x="440"/>
        <item x="775"/>
        <item x="210"/>
        <item x="254"/>
        <item x="547"/>
        <item x="740"/>
        <item x="695"/>
        <item x="224"/>
        <item x="803"/>
        <item x="454"/>
        <item x="136"/>
        <item x="444"/>
        <item x="759"/>
        <item x="734"/>
        <item x="191"/>
        <item x="345"/>
        <item x="610"/>
        <item x="501"/>
        <item x="485"/>
        <item x="682"/>
        <item x="858"/>
        <item x="433"/>
        <item x="623"/>
        <item x="258"/>
        <item x="205"/>
        <item x="781"/>
        <item x="41"/>
        <item x="790"/>
        <item x="477"/>
        <item x="920"/>
        <item x="123"/>
        <item x="143"/>
        <item x="639"/>
        <item x="706"/>
        <item x="130"/>
        <item x="529"/>
        <item x="89"/>
        <item x="536"/>
        <item x="311"/>
        <item x="137"/>
        <item x="788"/>
        <item x="850"/>
        <item x="822"/>
        <item x="264"/>
        <item x="835"/>
        <item x="654"/>
        <item x="348"/>
        <item x="741"/>
        <item x="475"/>
        <item x="287"/>
        <item x="855"/>
        <item x="727"/>
        <item x="261"/>
        <item x="906"/>
        <item x="147"/>
        <item x="917"/>
        <item x="871"/>
        <item x="196"/>
        <item x="535"/>
        <item x="320"/>
        <item x="627"/>
        <item x="583"/>
        <item x="573"/>
        <item x="761"/>
        <item x="675"/>
        <item x="915"/>
        <item x="37"/>
        <item x="158"/>
        <item x="95"/>
        <item x="504"/>
        <item x="540"/>
        <item x="355"/>
        <item x="228"/>
        <item x="670"/>
        <item x="117"/>
        <item x="606"/>
        <item x="689"/>
        <item x="270"/>
        <item x="927"/>
        <item x="883"/>
        <item x="267"/>
        <item x="604"/>
        <item x="753"/>
        <item x="98"/>
        <item x="38"/>
        <item x="833"/>
        <item x="88"/>
        <item x="82"/>
        <item x="545"/>
        <item x="488"/>
        <item x="263"/>
        <item x="622"/>
        <item x="708"/>
        <item x="801"/>
        <item x="456"/>
        <item x="518"/>
        <item x="187"/>
        <item x="818"/>
        <item x="72"/>
        <item x="99"/>
        <item x="737"/>
        <item x="874"/>
        <item x="221"/>
        <item x="692"/>
        <item x="943"/>
        <item x="359"/>
        <item x="305"/>
        <item x="409"/>
        <item x="669"/>
        <item x="752"/>
        <item x="342"/>
        <item x="209"/>
        <item x="451"/>
        <item x="882"/>
        <item x="896"/>
        <item x="749"/>
        <item x="918"/>
        <item x="814"/>
        <item x="255"/>
        <item x="282"/>
        <item x="785"/>
        <item x="530"/>
        <item x="620"/>
        <item x="646"/>
        <item x="770"/>
        <item x="773"/>
        <item x="83"/>
        <item x="878"/>
        <item x="430"/>
        <item x="296"/>
        <item x="465"/>
        <item x="39"/>
        <item x="484"/>
        <item x="163"/>
        <item x="699"/>
        <item x="500"/>
        <item x="23"/>
        <item x="455"/>
        <item x="211"/>
        <item x="52"/>
        <item x="720"/>
        <item x="64"/>
        <item x="252"/>
        <item x="566"/>
        <item x="560"/>
        <item x="283"/>
        <item x="632"/>
        <item x="598"/>
        <item x="590"/>
        <item x="335"/>
        <item x="380"/>
        <item x="302"/>
        <item x="786"/>
        <item x="514"/>
        <item x="79"/>
        <item x="802"/>
        <item x="467"/>
        <item x="312"/>
        <item x="764"/>
        <item x="600"/>
        <item x="431"/>
        <item x="292"/>
        <item x="133"/>
        <item x="637"/>
        <item x="234"/>
        <item x="705"/>
        <item x="114"/>
        <item x="365"/>
        <item x="791"/>
        <item x="471"/>
        <item x="460"/>
        <item x="697"/>
        <item x="81"/>
        <item x="630"/>
        <item x="127"/>
        <item x="655"/>
        <item x="131"/>
        <item x="900"/>
        <item x="913"/>
        <item x="665"/>
        <item x="565"/>
        <item x="146"/>
        <item x="481"/>
        <item x="74"/>
        <item x="693"/>
        <item x="793"/>
        <item x="816"/>
        <item x="891"/>
        <item x="237"/>
        <item x="649"/>
        <item x="570"/>
        <item x="434"/>
        <item x="911"/>
        <item x="678"/>
        <item x="887"/>
        <item x="808"/>
        <item x="90"/>
        <item x="591"/>
        <item x="571"/>
        <item x="569"/>
        <item x="96"/>
        <item x="605"/>
        <item x="288"/>
        <item x="694"/>
        <item x="14"/>
        <item x="259"/>
        <item x="474"/>
        <item x="521"/>
        <item x="795"/>
        <item x="626"/>
        <item x="174"/>
        <item x="731"/>
        <item x="782"/>
        <item x="400"/>
        <item x="799"/>
        <item x="489"/>
        <item x="57"/>
        <item x="582"/>
        <item x="558"/>
        <item x="567"/>
        <item x="733"/>
        <item x="65"/>
        <item x="847"/>
        <item x="712"/>
        <item x="580"/>
        <item x="352"/>
        <item x="687"/>
        <item x="2"/>
        <item x="457"/>
        <item x="330"/>
        <item x="508"/>
        <item x="20"/>
        <item x="506"/>
        <item x="674"/>
        <item x="34"/>
        <item x="908"/>
        <item x="164"/>
        <item x="907"/>
        <item x="68"/>
        <item x="367"/>
        <item x="841"/>
        <item x="507"/>
        <item x="248"/>
        <item x="510"/>
        <item x="185"/>
        <item x="618"/>
        <item x="404"/>
        <item x="940"/>
        <item x="249"/>
        <item x="834"/>
        <item x="581"/>
        <item x="898"/>
        <item x="587"/>
        <item x="443"/>
        <item x="447"/>
        <item x="843"/>
        <item x="229"/>
        <item x="206"/>
        <item x="905"/>
        <item x="559"/>
        <item x="236"/>
        <item x="51"/>
        <item x="422"/>
        <item x="594"/>
        <item x="439"/>
        <item x="262"/>
        <item x="286"/>
        <item x="338"/>
        <item x="466"/>
        <item x="552"/>
        <item x="497"/>
        <item x="289"/>
        <item x="912"/>
        <item x="819"/>
        <item x="371"/>
        <item x="160"/>
        <item x="879"/>
        <item x="496"/>
        <item x="343"/>
        <item x="15"/>
        <item x="223"/>
        <item x="492"/>
        <item x="32"/>
        <item x="717"/>
        <item x="941"/>
        <item x="115"/>
        <item x="797"/>
        <item x="450"/>
        <item x="425"/>
        <item x="617"/>
        <item x="838"/>
        <item x="710"/>
        <item x="401"/>
        <item x="575"/>
        <item x="145"/>
        <item x="542"/>
        <item x="472"/>
        <item x="327"/>
        <item x="381"/>
        <item x="366"/>
        <item x="478"/>
        <item x="612"/>
        <item x="572"/>
        <item x="892"/>
        <item x="945"/>
        <item x="551"/>
        <item x="772"/>
        <item x="726"/>
        <item x="716"/>
        <item x="445"/>
        <item x="944"/>
        <item x="360"/>
        <item x="298"/>
        <item x="337"/>
        <item x="629"/>
        <item x="119"/>
        <item x="31"/>
        <item x="607"/>
        <item x="134"/>
        <item x="543"/>
        <item x="636"/>
        <item x="432"/>
        <item x="7"/>
        <item x="322"/>
        <item x="738"/>
        <item x="10"/>
        <item x="216"/>
        <item x="415"/>
        <item x="722"/>
        <item x="724"/>
        <item x="672"/>
        <item x="324"/>
        <item x="568"/>
        <item x="344"/>
        <item x="787"/>
        <item x="357"/>
        <item x="204"/>
        <item x="60"/>
        <item x="420"/>
        <item x="8"/>
        <item x="370"/>
        <item x="308"/>
        <item x="804"/>
        <item x="176"/>
        <item x="821"/>
        <item x="220"/>
        <item x="76"/>
        <item x="333"/>
        <item x="67"/>
        <item x="934"/>
        <item x="168"/>
        <item x="109"/>
        <item x="363"/>
        <item x="281"/>
        <item x="385"/>
        <item x="410"/>
        <item x="932"/>
        <item x="736"/>
        <item x="40"/>
        <item x="661"/>
        <item x="758"/>
        <item x="494"/>
        <item x="861"/>
        <item x="947"/>
        <item t="default"/>
      </items>
    </pivotField>
    <pivotField showAll="0">
      <items count="427">
        <item x="227"/>
        <item x="389"/>
        <item x="156"/>
        <item x="165"/>
        <item x="18"/>
        <item x="122"/>
        <item x="371"/>
        <item x="407"/>
        <item x="121"/>
        <item x="180"/>
        <item x="355"/>
        <item x="53"/>
        <item x="219"/>
        <item x="418"/>
        <item x="314"/>
        <item x="106"/>
        <item x="56"/>
        <item x="373"/>
        <item x="46"/>
        <item x="318"/>
        <item x="176"/>
        <item x="135"/>
        <item x="102"/>
        <item x="21"/>
        <item x="59"/>
        <item x="406"/>
        <item x="171"/>
        <item x="293"/>
        <item x="402"/>
        <item x="188"/>
        <item x="296"/>
        <item x="216"/>
        <item x="393"/>
        <item x="361"/>
        <item x="337"/>
        <item x="200"/>
        <item x="268"/>
        <item x="391"/>
        <item x="394"/>
        <item x="236"/>
        <item x="187"/>
        <item x="36"/>
        <item x="328"/>
        <item x="324"/>
        <item x="241"/>
        <item x="166"/>
        <item x="93"/>
        <item x="64"/>
        <item x="35"/>
        <item x="250"/>
        <item x="403"/>
        <item x="83"/>
        <item x="291"/>
        <item x="271"/>
        <item x="217"/>
        <item x="240"/>
        <item x="276"/>
        <item x="305"/>
        <item x="66"/>
        <item x="16"/>
        <item x="10"/>
        <item x="154"/>
        <item x="231"/>
        <item x="80"/>
        <item x="107"/>
        <item x="198"/>
        <item x="319"/>
        <item x="131"/>
        <item x="283"/>
        <item x="256"/>
        <item x="23"/>
        <item x="182"/>
        <item x="273"/>
        <item x="92"/>
        <item x="285"/>
        <item x="351"/>
        <item x="81"/>
        <item x="235"/>
        <item x="336"/>
        <item x="27"/>
        <item x="1"/>
        <item x="25"/>
        <item x="401"/>
        <item x="140"/>
        <item x="274"/>
        <item x="233"/>
        <item x="153"/>
        <item x="20"/>
        <item x="360"/>
        <item x="275"/>
        <item x="151"/>
        <item x="281"/>
        <item x="79"/>
        <item x="309"/>
        <item x="44"/>
        <item x="317"/>
        <item x="206"/>
        <item x="54"/>
        <item x="186"/>
        <item x="129"/>
        <item x="196"/>
        <item x="28"/>
        <item x="347"/>
        <item x="311"/>
        <item x="11"/>
        <item x="332"/>
        <item x="405"/>
        <item x="225"/>
        <item x="14"/>
        <item x="204"/>
        <item x="133"/>
        <item x="169"/>
        <item x="267"/>
        <item x="339"/>
        <item x="147"/>
        <item x="260"/>
        <item x="134"/>
        <item x="237"/>
        <item x="67"/>
        <item x="7"/>
        <item x="192"/>
        <item x="329"/>
        <item x="0"/>
        <item x="238"/>
        <item x="145"/>
        <item x="126"/>
        <item x="370"/>
        <item x="157"/>
        <item x="78"/>
        <item x="353"/>
        <item x="251"/>
        <item x="388"/>
        <item x="333"/>
        <item x="414"/>
        <item x="103"/>
        <item x="277"/>
        <item x="173"/>
        <item x="124"/>
        <item x="399"/>
        <item x="259"/>
        <item x="127"/>
        <item x="341"/>
        <item x="334"/>
        <item x="212"/>
        <item x="313"/>
        <item x="49"/>
        <item x="41"/>
        <item x="254"/>
        <item x="113"/>
        <item x="387"/>
        <item x="292"/>
        <item x="116"/>
        <item x="321"/>
        <item x="214"/>
        <item x="252"/>
        <item x="73"/>
        <item x="155"/>
        <item x="148"/>
        <item x="289"/>
        <item x="366"/>
        <item x="246"/>
        <item x="288"/>
        <item x="123"/>
        <item x="146"/>
        <item x="139"/>
        <item x="315"/>
        <item x="243"/>
        <item x="69"/>
        <item x="141"/>
        <item x="284"/>
        <item x="136"/>
        <item x="400"/>
        <item x="230"/>
        <item x="189"/>
        <item x="396"/>
        <item x="420"/>
        <item x="130"/>
        <item x="368"/>
        <item x="158"/>
        <item x="395"/>
        <item x="356"/>
        <item x="57"/>
        <item x="331"/>
        <item x="142"/>
        <item x="280"/>
        <item x="190"/>
        <item x="71"/>
        <item x="320"/>
        <item x="376"/>
        <item x="191"/>
        <item x="101"/>
        <item x="378"/>
        <item x="175"/>
        <item x="422"/>
        <item x="226"/>
        <item x="94"/>
        <item x="295"/>
        <item x="68"/>
        <item x="84"/>
        <item x="58"/>
        <item x="15"/>
        <item x="34"/>
        <item x="249"/>
        <item x="70"/>
        <item x="87"/>
        <item x="138"/>
        <item x="245"/>
        <item x="88"/>
        <item x="310"/>
        <item x="287"/>
        <item x="194"/>
        <item x="218"/>
        <item x="369"/>
        <item x="343"/>
        <item x="299"/>
        <item x="270"/>
        <item x="308"/>
        <item x="150"/>
        <item x="290"/>
        <item x="6"/>
        <item x="168"/>
        <item x="345"/>
        <item x="174"/>
        <item x="234"/>
        <item x="72"/>
        <item x="232"/>
        <item x="99"/>
        <item x="247"/>
        <item x="40"/>
        <item x="37"/>
        <item x="282"/>
        <item x="184"/>
        <item x="24"/>
        <item x="95"/>
        <item x="31"/>
        <item x="32"/>
        <item x="112"/>
        <item x="322"/>
        <item x="100"/>
        <item x="380"/>
        <item x="19"/>
        <item x="242"/>
        <item x="183"/>
        <item x="65"/>
        <item x="379"/>
        <item x="265"/>
        <item x="152"/>
        <item x="222"/>
        <item x="209"/>
        <item x="375"/>
        <item x="211"/>
        <item x="199"/>
        <item x="244"/>
        <item x="421"/>
        <item x="85"/>
        <item x="132"/>
        <item x="307"/>
        <item x="110"/>
        <item x="86"/>
        <item x="108"/>
        <item x="352"/>
        <item x="201"/>
        <item x="91"/>
        <item x="286"/>
        <item x="4"/>
        <item x="300"/>
        <item x="160"/>
        <item x="38"/>
        <item x="75"/>
        <item x="220"/>
        <item x="363"/>
        <item x="52"/>
        <item x="33"/>
        <item x="96"/>
        <item x="344"/>
        <item x="208"/>
        <item x="302"/>
        <item x="367"/>
        <item x="413"/>
        <item x="62"/>
        <item x="90"/>
        <item x="43"/>
        <item x="215"/>
        <item x="210"/>
        <item x="9"/>
        <item x="114"/>
        <item x="228"/>
        <item x="197"/>
        <item x="61"/>
        <item x="51"/>
        <item x="42"/>
        <item x="177"/>
        <item x="181"/>
        <item x="202"/>
        <item x="357"/>
        <item x="29"/>
        <item x="279"/>
        <item x="294"/>
        <item x="390"/>
        <item x="195"/>
        <item x="412"/>
        <item x="97"/>
        <item x="350"/>
        <item x="384"/>
        <item x="224"/>
        <item x="419"/>
        <item x="423"/>
        <item x="272"/>
        <item x="248"/>
        <item x="372"/>
        <item x="312"/>
        <item x="263"/>
        <item x="119"/>
        <item x="338"/>
        <item x="47"/>
        <item x="264"/>
        <item x="185"/>
        <item x="167"/>
        <item x="411"/>
        <item x="416"/>
        <item x="409"/>
        <item x="335"/>
        <item x="374"/>
        <item x="348"/>
        <item x="398"/>
        <item x="172"/>
        <item x="178"/>
        <item x="415"/>
        <item x="298"/>
        <item x="170"/>
        <item x="82"/>
        <item x="417"/>
        <item x="223"/>
        <item x="179"/>
        <item x="253"/>
        <item x="12"/>
        <item x="323"/>
        <item x="105"/>
        <item x="316"/>
        <item x="111"/>
        <item x="325"/>
        <item x="385"/>
        <item x="306"/>
        <item x="239"/>
        <item x="261"/>
        <item x="386"/>
        <item x="162"/>
        <item x="143"/>
        <item x="362"/>
        <item x="128"/>
        <item x="3"/>
        <item x="98"/>
        <item x="377"/>
        <item x="203"/>
        <item x="149"/>
        <item x="76"/>
        <item x="404"/>
        <item x="26"/>
        <item x="397"/>
        <item x="303"/>
        <item x="424"/>
        <item x="39"/>
        <item x="205"/>
        <item x="2"/>
        <item x="137"/>
        <item x="117"/>
        <item x="193"/>
        <item x="13"/>
        <item x="125"/>
        <item x="207"/>
        <item x="340"/>
        <item x="8"/>
        <item x="115"/>
        <item x="262"/>
        <item x="257"/>
        <item x="22"/>
        <item x="30"/>
        <item x="354"/>
        <item x="63"/>
        <item x="381"/>
        <item x="55"/>
        <item x="408"/>
        <item x="278"/>
        <item x="163"/>
        <item x="229"/>
        <item x="255"/>
        <item x="144"/>
        <item x="304"/>
        <item x="74"/>
        <item x="349"/>
        <item x="159"/>
        <item x="17"/>
        <item x="359"/>
        <item x="77"/>
        <item x="50"/>
        <item x="5"/>
        <item x="383"/>
        <item x="161"/>
        <item x="330"/>
        <item x="410"/>
        <item x="392"/>
        <item x="45"/>
        <item x="326"/>
        <item x="104"/>
        <item x="269"/>
        <item x="358"/>
        <item x="258"/>
        <item x="221"/>
        <item x="89"/>
        <item x="297"/>
        <item x="327"/>
        <item x="48"/>
        <item x="365"/>
        <item x="266"/>
        <item x="364"/>
        <item x="301"/>
        <item x="346"/>
        <item x="60"/>
        <item x="342"/>
        <item x="164"/>
        <item x="109"/>
        <item x="118"/>
        <item x="382"/>
        <item x="120"/>
        <item x="213"/>
        <item x="4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46895-D826-41FB-A1AF-4BAC7154C6C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46" firstHeaderRow="1" firstDataRow="1" firstDataCol="1"/>
  <pivotFields count="12">
    <pivotField showAll="0"/>
    <pivotField axis="axisRow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 t="grand">
      <x/>
    </i>
  </rowItems>
  <colItems count="1">
    <i/>
  </colItems>
  <dataFields count="1">
    <dataField name="Sum of Total_Sale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workbookViewId="0">
      <selection activeCell="K1" sqref="K1"/>
    </sheetView>
  </sheetViews>
  <sheetFormatPr defaultRowHeight="15"/>
  <cols>
    <col min="1" max="1" width="16.85546875" customWidth="1"/>
    <col min="2" max="2" width="15.5703125" customWidth="1"/>
    <col min="3" max="3" width="18.7109375" customWidth="1"/>
    <col min="4" max="4" width="17.42578125" customWidth="1"/>
    <col min="6" max="6" width="17.42578125" customWidth="1"/>
    <col min="7" max="7" width="16.28515625" customWidth="1"/>
    <col min="8" max="8" width="13.140625" customWidth="1"/>
    <col min="9" max="9" width="14.42578125" customWidth="1"/>
    <col min="11" max="11" width="14.28515625" customWidth="1"/>
    <col min="12" max="12" width="12.7109375" customWidth="1"/>
    <col min="13" max="13" width="14.28515625" customWidth="1"/>
    <col min="17" max="17" width="12.5703125" customWidth="1"/>
    <col min="18" max="18" width="11.5703125" customWidth="1"/>
    <col min="23" max="23" width="23.5703125" customWidth="1"/>
    <col min="24" max="24" width="12.5703125" customWidth="1"/>
    <col min="29" max="29" width="13" customWidth="1"/>
    <col min="30" max="30" width="11.4257812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2783</v>
      </c>
      <c r="O1" t="s">
        <v>2784</v>
      </c>
      <c r="P1" t="s">
        <v>2785</v>
      </c>
      <c r="Q1" t="s">
        <v>2786</v>
      </c>
      <c r="R1" t="s">
        <v>2787</v>
      </c>
      <c r="T1" t="s">
        <v>2783</v>
      </c>
      <c r="U1" t="s">
        <v>2784</v>
      </c>
      <c r="V1" t="s">
        <v>2785</v>
      </c>
      <c r="W1" s="2" t="s">
        <v>2790</v>
      </c>
      <c r="X1" t="s">
        <v>2787</v>
      </c>
      <c r="Z1" t="s">
        <v>2783</v>
      </c>
      <c r="AA1" t="s">
        <v>2784</v>
      </c>
      <c r="AB1" t="s">
        <v>2785</v>
      </c>
      <c r="AC1" t="s">
        <v>2786</v>
      </c>
      <c r="AD1" t="s">
        <v>2787</v>
      </c>
      <c r="AF1" t="s">
        <v>2783</v>
      </c>
      <c r="AG1" t="s">
        <v>2784</v>
      </c>
      <c r="AH1" t="s">
        <v>2785</v>
      </c>
      <c r="AI1" t="s">
        <v>2786</v>
      </c>
      <c r="AJ1" t="s">
        <v>2787</v>
      </c>
    </row>
    <row r="2" spans="1:37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N2">
        <f>_xlfn.QUARTILE.INC(E:E,1)</f>
        <v>30</v>
      </c>
      <c r="O2">
        <f>_xlfn.QUARTILE.INC(E:E,3)</f>
        <v>54</v>
      </c>
      <c r="P2">
        <f>O2-N2</f>
        <v>24</v>
      </c>
      <c r="Q2">
        <f>N2-(1.5*P2)</f>
        <v>-6</v>
      </c>
      <c r="R2">
        <f>O2+(1.5*P2)</f>
        <v>90</v>
      </c>
      <c r="T2">
        <f>_xlfn.QUARTILE.INC(J:J,1)</f>
        <v>3</v>
      </c>
      <c r="U2">
        <f>_xlfn.QUARTILE.INC(J:J,3)</f>
        <v>8</v>
      </c>
      <c r="V2">
        <f>U2-T2</f>
        <v>5</v>
      </c>
      <c r="W2">
        <f>T2-(1.5*V2)</f>
        <v>-4.5</v>
      </c>
      <c r="X2">
        <f>U2+(1.5*V2)</f>
        <v>15.5</v>
      </c>
      <c r="Z2">
        <f>_xlfn.QUARTILE.INC(K:K,1)</f>
        <v>13895.7225</v>
      </c>
      <c r="AA2">
        <f>_xlfn.QUARTILE.INC(K:K,3)</f>
        <v>37512.3825</v>
      </c>
      <c r="AB2">
        <f>AA2-Z2</f>
        <v>23616.66</v>
      </c>
      <c r="AC2">
        <f>Z2-(1.5*AB2)</f>
        <v>-21529.267499999998</v>
      </c>
      <c r="AD2">
        <f>AA2+(1.5*AB2)</f>
        <v>72937.372499999998</v>
      </c>
      <c r="AF2">
        <f>_xlfn.QUARTILE.INC(L:L,1)</f>
        <v>47066.6325</v>
      </c>
      <c r="AG2">
        <f>_xlfn.QUARTILE.INC(L:L,3)</f>
        <v>203722.88250000001</v>
      </c>
      <c r="AH2">
        <f>AG2-AF2</f>
        <v>156656.25</v>
      </c>
      <c r="AI2">
        <f>AF2-(1.5*AH2)</f>
        <v>-187917.74249999999</v>
      </c>
      <c r="AJ2">
        <f>AG2+(1.5*AH2)</f>
        <v>438707.25750000001</v>
      </c>
      <c r="AK2">
        <f>COUNTIF(L2:L1001,"&gt;"&amp;AJ2)+COUNTIF(L2:L1001,"&lt;"&amp;AI2)</f>
        <v>19</v>
      </c>
    </row>
    <row r="3" spans="1:37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37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37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37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37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37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37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37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37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37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37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37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37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37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autoFilter ref="D1:D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1439-5699-40CA-8A5B-64B7B24C15D0}">
  <dimension ref="A1:D17"/>
  <sheetViews>
    <sheetView workbookViewId="0">
      <selection activeCell="A3" sqref="A3"/>
    </sheetView>
  </sheetViews>
  <sheetFormatPr defaultRowHeight="15"/>
  <cols>
    <col min="1" max="1" width="45.85546875" customWidth="1"/>
    <col min="2" max="2" width="21.7109375" customWidth="1"/>
    <col min="4" max="4" width="38.28515625" customWidth="1"/>
  </cols>
  <sheetData>
    <row r="1" spans="1:4">
      <c r="A1" s="1" t="s">
        <v>2772</v>
      </c>
      <c r="B1" s="1" t="s">
        <v>2771</v>
      </c>
      <c r="C1" s="4" t="s">
        <v>2773</v>
      </c>
      <c r="D1" s="1" t="s">
        <v>2774</v>
      </c>
    </row>
    <row r="2" spans="1:4">
      <c r="A2" s="2" t="s">
        <v>2775</v>
      </c>
      <c r="B2" s="2" t="s">
        <v>4</v>
      </c>
      <c r="C2" s="3">
        <v>20</v>
      </c>
      <c r="D2" s="2" t="s">
        <v>2776</v>
      </c>
    </row>
    <row r="3" spans="1:4">
      <c r="A3" s="2" t="s">
        <v>2775</v>
      </c>
      <c r="B3" s="2" t="s">
        <v>6</v>
      </c>
      <c r="C3" s="2">
        <v>13</v>
      </c>
      <c r="D3" s="2" t="s">
        <v>2776</v>
      </c>
    </row>
    <row r="4" spans="1:4">
      <c r="A4" s="5" t="s">
        <v>2777</v>
      </c>
      <c r="B4" t="s">
        <v>2779</v>
      </c>
      <c r="C4">
        <v>0</v>
      </c>
      <c r="D4" t="s">
        <v>2778</v>
      </c>
    </row>
    <row r="5" spans="1:4">
      <c r="A5" s="6" t="s">
        <v>2782</v>
      </c>
      <c r="B5" s="6" t="s">
        <v>5</v>
      </c>
      <c r="C5" s="3">
        <v>0</v>
      </c>
      <c r="D5" s="6" t="s">
        <v>2781</v>
      </c>
    </row>
    <row r="6" spans="1:4">
      <c r="A6" s="2" t="s">
        <v>2780</v>
      </c>
      <c r="B6" s="2" t="s">
        <v>6</v>
      </c>
      <c r="C6" s="3">
        <v>0</v>
      </c>
      <c r="D6" s="2" t="s">
        <v>2781</v>
      </c>
    </row>
    <row r="7" spans="1:4">
      <c r="A7" s="2" t="s">
        <v>2780</v>
      </c>
      <c r="B7" s="2" t="s">
        <v>7</v>
      </c>
      <c r="C7" s="3">
        <v>0</v>
      </c>
      <c r="D7" s="2" t="s">
        <v>2781</v>
      </c>
    </row>
    <row r="8" spans="1:4">
      <c r="A8" s="2" t="s">
        <v>2780</v>
      </c>
      <c r="B8" s="2" t="s">
        <v>8</v>
      </c>
      <c r="C8" s="3">
        <v>0</v>
      </c>
      <c r="D8" s="2" t="s">
        <v>2781</v>
      </c>
    </row>
    <row r="9" spans="1:4">
      <c r="A9" s="2" t="s">
        <v>2780</v>
      </c>
      <c r="B9" s="7" t="s">
        <v>1</v>
      </c>
      <c r="C9" s="3">
        <v>0</v>
      </c>
      <c r="D9" s="2" t="s">
        <v>2781</v>
      </c>
    </row>
    <row r="10" spans="1:4">
      <c r="A10" s="2" t="s">
        <v>2780</v>
      </c>
      <c r="B10" s="7" t="s">
        <v>0</v>
      </c>
      <c r="C10" s="3">
        <v>0</v>
      </c>
      <c r="D10" s="2" t="s">
        <v>2781</v>
      </c>
    </row>
    <row r="11" spans="1:4">
      <c r="A11" s="2" t="s">
        <v>2780</v>
      </c>
      <c r="B11" s="7" t="s">
        <v>2</v>
      </c>
      <c r="C11" s="3">
        <v>0</v>
      </c>
      <c r="D11" s="2" t="s">
        <v>2781</v>
      </c>
    </row>
    <row r="12" spans="1:4">
      <c r="A12" s="2" t="s">
        <v>2780</v>
      </c>
      <c r="B12" t="s">
        <v>3</v>
      </c>
      <c r="C12" s="3">
        <v>0</v>
      </c>
      <c r="D12" s="2" t="s">
        <v>2781</v>
      </c>
    </row>
    <row r="13" spans="1:4">
      <c r="A13" t="s">
        <v>2788</v>
      </c>
      <c r="B13" s="2" t="s">
        <v>4</v>
      </c>
      <c r="C13" s="3">
        <v>0</v>
      </c>
      <c r="D13" t="s">
        <v>2789</v>
      </c>
    </row>
    <row r="14" spans="1:4">
      <c r="A14" t="s">
        <v>2788</v>
      </c>
      <c r="B14" s="2" t="s">
        <v>9</v>
      </c>
      <c r="C14" s="3">
        <v>0</v>
      </c>
      <c r="D14" t="s">
        <v>2789</v>
      </c>
    </row>
    <row r="15" spans="1:4">
      <c r="A15" t="s">
        <v>2788</v>
      </c>
      <c r="B15" s="2" t="s">
        <v>10</v>
      </c>
      <c r="C15" s="3">
        <v>0</v>
      </c>
      <c r="D15" t="s">
        <v>2789</v>
      </c>
    </row>
    <row r="16" spans="1:4" ht="30">
      <c r="A16" t="s">
        <v>2788</v>
      </c>
      <c r="B16" s="2" t="s">
        <v>11</v>
      </c>
      <c r="C16" s="3">
        <v>19</v>
      </c>
      <c r="D16" s="2" t="s">
        <v>2791</v>
      </c>
    </row>
    <row r="17" spans="4:4">
      <c r="D1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E983-FB0C-4B57-B6D9-E58B6B62F7AA}">
  <dimension ref="A1:D13"/>
  <sheetViews>
    <sheetView workbookViewId="0">
      <selection activeCell="B17" sqref="B17"/>
    </sheetView>
  </sheetViews>
  <sheetFormatPr defaultRowHeight="15"/>
  <cols>
    <col min="1" max="1" width="15.28515625" customWidth="1"/>
    <col min="2" max="2" width="33.7109375" customWidth="1"/>
    <col min="3" max="3" width="9.28515625" customWidth="1"/>
    <col min="4" max="4" width="81.28515625" customWidth="1"/>
  </cols>
  <sheetData>
    <row r="1" spans="1:4">
      <c r="A1" t="s">
        <v>2739</v>
      </c>
      <c r="B1" t="s">
        <v>2740</v>
      </c>
      <c r="C1" t="s">
        <v>2741</v>
      </c>
      <c r="D1" t="s">
        <v>2742</v>
      </c>
    </row>
    <row r="2" spans="1:4">
      <c r="A2" t="s">
        <v>0</v>
      </c>
      <c r="B2" t="s">
        <v>2743</v>
      </c>
      <c r="C2" t="s">
        <v>2755</v>
      </c>
      <c r="D2" t="s">
        <v>2759</v>
      </c>
    </row>
    <row r="3" spans="1:4">
      <c r="A3" t="s">
        <v>1</v>
      </c>
      <c r="B3" t="s">
        <v>2744</v>
      </c>
      <c r="C3" t="s">
        <v>2756</v>
      </c>
      <c r="D3" t="s">
        <v>2760</v>
      </c>
    </row>
    <row r="4" spans="1:4">
      <c r="A4" t="s">
        <v>2</v>
      </c>
      <c r="B4" t="s">
        <v>2745</v>
      </c>
      <c r="C4" t="s">
        <v>2755</v>
      </c>
      <c r="D4" t="s">
        <v>2761</v>
      </c>
    </row>
    <row r="5" spans="1:4">
      <c r="A5" t="s">
        <v>3</v>
      </c>
      <c r="B5" t="s">
        <v>2746</v>
      </c>
      <c r="C5" t="s">
        <v>2755</v>
      </c>
      <c r="D5" t="s">
        <v>2762</v>
      </c>
    </row>
    <row r="6" spans="1:4">
      <c r="A6" t="s">
        <v>4</v>
      </c>
      <c r="B6" t="s">
        <v>2747</v>
      </c>
      <c r="C6" t="s">
        <v>2757</v>
      </c>
      <c r="D6" t="s">
        <v>2763</v>
      </c>
    </row>
    <row r="7" spans="1:4">
      <c r="A7" t="s">
        <v>5</v>
      </c>
      <c r="B7" t="s">
        <v>2748</v>
      </c>
      <c r="C7" t="s">
        <v>2755</v>
      </c>
      <c r="D7" t="s">
        <v>2764</v>
      </c>
    </row>
    <row r="8" spans="1:4">
      <c r="A8" t="s">
        <v>6</v>
      </c>
      <c r="B8" t="s">
        <v>2749</v>
      </c>
      <c r="C8" t="s">
        <v>2755</v>
      </c>
      <c r="D8" t="s">
        <v>2765</v>
      </c>
    </row>
    <row r="9" spans="1:4">
      <c r="A9" t="s">
        <v>7</v>
      </c>
      <c r="B9" t="s">
        <v>2750</v>
      </c>
      <c r="C9" t="s">
        <v>2755</v>
      </c>
      <c r="D9" t="s">
        <v>2766</v>
      </c>
    </row>
    <row r="10" spans="1:4">
      <c r="A10" t="s">
        <v>8</v>
      </c>
      <c r="B10" t="s">
        <v>2751</v>
      </c>
      <c r="C10" t="s">
        <v>2755</v>
      </c>
      <c r="D10" t="s">
        <v>2767</v>
      </c>
    </row>
    <row r="11" spans="1:4">
      <c r="A11" t="s">
        <v>9</v>
      </c>
      <c r="B11" t="s">
        <v>2752</v>
      </c>
      <c r="C11" t="s">
        <v>2757</v>
      </c>
      <c r="D11" t="s">
        <v>2768</v>
      </c>
    </row>
    <row r="12" spans="1:4">
      <c r="A12" t="s">
        <v>10</v>
      </c>
      <c r="B12" t="s">
        <v>2753</v>
      </c>
      <c r="C12" t="s">
        <v>2758</v>
      </c>
      <c r="D12" t="s">
        <v>2769</v>
      </c>
    </row>
    <row r="13" spans="1:4">
      <c r="A13" t="s">
        <v>11</v>
      </c>
      <c r="B13" t="s">
        <v>2754</v>
      </c>
      <c r="C13" t="s">
        <v>2758</v>
      </c>
      <c r="D13" t="s">
        <v>2770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30A0-B492-46BE-A0B9-687B8E90BAE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656A-9926-4B1C-A5A2-7E7F5F5F5FD3}">
  <dimension ref="A3:C20"/>
  <sheetViews>
    <sheetView workbookViewId="0">
      <selection activeCell="A3" sqref="A3"/>
    </sheetView>
  </sheetViews>
  <sheetFormatPr defaultRowHeight="15"/>
  <cols>
    <col min="1" max="1" width="13.7109375" bestFit="1" customWidth="1"/>
  </cols>
  <sheetData>
    <row r="3" spans="1:3">
      <c r="A3" s="13"/>
      <c r="B3" s="14"/>
      <c r="C3" s="15"/>
    </row>
    <row r="4" spans="1:3">
      <c r="A4" s="16"/>
      <c r="B4" s="17"/>
      <c r="C4" s="18"/>
    </row>
    <row r="5" spans="1:3">
      <c r="A5" s="16"/>
      <c r="B5" s="17"/>
      <c r="C5" s="18"/>
    </row>
    <row r="6" spans="1:3">
      <c r="A6" s="16"/>
      <c r="B6" s="17"/>
      <c r="C6" s="18"/>
    </row>
    <row r="7" spans="1:3">
      <c r="A7" s="16"/>
      <c r="B7" s="17"/>
      <c r="C7" s="18"/>
    </row>
    <row r="8" spans="1:3">
      <c r="A8" s="16"/>
      <c r="B8" s="17"/>
      <c r="C8" s="18"/>
    </row>
    <row r="9" spans="1:3">
      <c r="A9" s="16"/>
      <c r="B9" s="17"/>
      <c r="C9" s="18"/>
    </row>
    <row r="10" spans="1:3">
      <c r="A10" s="16"/>
      <c r="B10" s="17"/>
      <c r="C10" s="18"/>
    </row>
    <row r="11" spans="1:3">
      <c r="A11" s="16"/>
      <c r="B11" s="17"/>
      <c r="C11" s="18"/>
    </row>
    <row r="12" spans="1:3">
      <c r="A12" s="16"/>
      <c r="B12" s="17"/>
      <c r="C12" s="18"/>
    </row>
    <row r="13" spans="1:3">
      <c r="A13" s="16"/>
      <c r="B13" s="17"/>
      <c r="C13" s="18"/>
    </row>
    <row r="14" spans="1:3">
      <c r="A14" s="16"/>
      <c r="B14" s="17"/>
      <c r="C14" s="18"/>
    </row>
    <row r="15" spans="1:3">
      <c r="A15" s="16"/>
      <c r="B15" s="17"/>
      <c r="C15" s="18"/>
    </row>
    <row r="16" spans="1:3">
      <c r="A16" s="16"/>
      <c r="B16" s="17"/>
      <c r="C16" s="18"/>
    </row>
    <row r="17" spans="1:3">
      <c r="A17" s="16"/>
      <c r="B17" s="17"/>
      <c r="C17" s="18"/>
    </row>
    <row r="18" spans="1:3">
      <c r="A18" s="16"/>
      <c r="B18" s="17"/>
      <c r="C18" s="18"/>
    </row>
    <row r="19" spans="1:3">
      <c r="A19" s="16"/>
      <c r="B19" s="17"/>
      <c r="C19" s="18"/>
    </row>
    <row r="20" spans="1:3">
      <c r="A20" s="19"/>
      <c r="B20" s="20"/>
      <c r="C20" s="2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39F0-1277-420B-815B-7D4ACE6E9FB8}">
  <dimension ref="A3:B346"/>
  <sheetViews>
    <sheetView topLeftCell="H1" workbookViewId="0">
      <selection activeCell="A3" sqref="A3"/>
    </sheetView>
  </sheetViews>
  <sheetFormatPr defaultRowHeight="15"/>
  <cols>
    <col min="1" max="1" width="13.140625" bestFit="1" customWidth="1"/>
    <col min="2" max="2" width="17.85546875" bestFit="1" customWidth="1"/>
  </cols>
  <sheetData>
    <row r="3" spans="1:2">
      <c r="A3" s="22" t="s">
        <v>2820</v>
      </c>
      <c r="B3" t="s">
        <v>2823</v>
      </c>
    </row>
    <row r="4" spans="1:2">
      <c r="A4" s="23" t="s">
        <v>1829</v>
      </c>
      <c r="B4" s="32">
        <v>23787.599999999999</v>
      </c>
    </row>
    <row r="5" spans="1:2">
      <c r="A5" s="23" t="s">
        <v>742</v>
      </c>
      <c r="B5" s="32">
        <v>307641.34999999998</v>
      </c>
    </row>
    <row r="6" spans="1:2">
      <c r="A6" s="23" t="s">
        <v>1429</v>
      </c>
      <c r="B6" s="32">
        <v>194749.86</v>
      </c>
    </row>
    <row r="7" spans="1:2">
      <c r="A7" s="23" t="s">
        <v>346</v>
      </c>
      <c r="B7" s="32">
        <v>721080.92</v>
      </c>
    </row>
    <row r="8" spans="1:2">
      <c r="A8" s="23" t="s">
        <v>627</v>
      </c>
      <c r="B8" s="32">
        <v>591822.16</v>
      </c>
    </row>
    <row r="9" spans="1:2">
      <c r="A9" s="23" t="s">
        <v>2235</v>
      </c>
      <c r="B9" s="32">
        <v>72852.100000000006</v>
      </c>
    </row>
    <row r="10" spans="1:2">
      <c r="A10" s="23" t="s">
        <v>1002</v>
      </c>
      <c r="B10" s="32">
        <v>539901.84000000008</v>
      </c>
    </row>
    <row r="11" spans="1:2">
      <c r="A11" s="23" t="s">
        <v>819</v>
      </c>
      <c r="B11" s="32">
        <v>625004.75</v>
      </c>
    </row>
    <row r="12" spans="1:2">
      <c r="A12" s="23" t="s">
        <v>669</v>
      </c>
      <c r="B12" s="32">
        <v>853136.58</v>
      </c>
    </row>
    <row r="13" spans="1:2">
      <c r="A13" s="23" t="s">
        <v>808</v>
      </c>
      <c r="B13" s="32">
        <v>296338.06</v>
      </c>
    </row>
    <row r="14" spans="1:2">
      <c r="A14" s="23" t="s">
        <v>421</v>
      </c>
      <c r="B14" s="32">
        <v>696953.82</v>
      </c>
    </row>
    <row r="15" spans="1:2">
      <c r="A15" s="23" t="s">
        <v>261</v>
      </c>
      <c r="B15" s="32">
        <v>509436.29</v>
      </c>
    </row>
    <row r="16" spans="1:2">
      <c r="A16" s="23" t="s">
        <v>1375</v>
      </c>
      <c r="B16" s="32">
        <v>207548.11</v>
      </c>
    </row>
    <row r="17" spans="1:2">
      <c r="A17" s="23" t="s">
        <v>454</v>
      </c>
      <c r="B17" s="32">
        <v>295210.68</v>
      </c>
    </row>
    <row r="18" spans="1:2">
      <c r="A18" s="23" t="s">
        <v>1263</v>
      </c>
      <c r="B18" s="32">
        <v>682502.23</v>
      </c>
    </row>
    <row r="19" spans="1:2">
      <c r="A19" s="23" t="s">
        <v>2539</v>
      </c>
      <c r="B19" s="32">
        <v>200969.45</v>
      </c>
    </row>
    <row r="20" spans="1:2">
      <c r="A20" s="23" t="s">
        <v>650</v>
      </c>
      <c r="B20" s="32">
        <v>294192.93</v>
      </c>
    </row>
    <row r="21" spans="1:2">
      <c r="A21" s="23" t="s">
        <v>2593</v>
      </c>
      <c r="B21" s="32">
        <v>39400.400000000001</v>
      </c>
    </row>
    <row r="22" spans="1:2">
      <c r="A22" s="23" t="s">
        <v>402</v>
      </c>
      <c r="B22" s="32">
        <v>688914.03</v>
      </c>
    </row>
    <row r="23" spans="1:2">
      <c r="A23" s="23" t="s">
        <v>897</v>
      </c>
      <c r="B23" s="32">
        <v>423571.4</v>
      </c>
    </row>
    <row r="24" spans="1:2">
      <c r="A24" s="23" t="s">
        <v>2198</v>
      </c>
      <c r="B24" s="32">
        <v>51372.25</v>
      </c>
    </row>
    <row r="25" spans="1:2">
      <c r="A25" s="23" t="s">
        <v>546</v>
      </c>
      <c r="B25" s="32">
        <v>226245.78</v>
      </c>
    </row>
    <row r="26" spans="1:2">
      <c r="A26" s="23" t="s">
        <v>657</v>
      </c>
      <c r="B26" s="32">
        <v>385886.58</v>
      </c>
    </row>
    <row r="27" spans="1:2">
      <c r="A27" s="23" t="s">
        <v>2156</v>
      </c>
      <c r="B27" s="32">
        <v>152156.34</v>
      </c>
    </row>
    <row r="28" spans="1:2">
      <c r="A28" s="23" t="s">
        <v>1176</v>
      </c>
      <c r="B28" s="32">
        <v>222112.21</v>
      </c>
    </row>
    <row r="29" spans="1:2">
      <c r="A29" s="23" t="s">
        <v>1154</v>
      </c>
      <c r="B29" s="32">
        <v>65068.15</v>
      </c>
    </row>
    <row r="30" spans="1:2">
      <c r="A30" s="23" t="s">
        <v>286</v>
      </c>
      <c r="B30" s="32">
        <v>463565.18000000005</v>
      </c>
    </row>
    <row r="31" spans="1:2">
      <c r="A31" s="23" t="s">
        <v>1964</v>
      </c>
      <c r="B31" s="32">
        <v>264769.68</v>
      </c>
    </row>
    <row r="32" spans="1:2">
      <c r="A32" s="23" t="s">
        <v>1463</v>
      </c>
      <c r="B32" s="32">
        <v>274084.29000000004</v>
      </c>
    </row>
    <row r="33" spans="1:2">
      <c r="A33" s="23" t="s">
        <v>1148</v>
      </c>
      <c r="B33" s="32">
        <v>238516.14</v>
      </c>
    </row>
    <row r="34" spans="1:2">
      <c r="A34" s="23" t="s">
        <v>864</v>
      </c>
      <c r="B34" s="32">
        <v>231341.36</v>
      </c>
    </row>
    <row r="35" spans="1:2">
      <c r="A35" s="23" t="s">
        <v>145</v>
      </c>
      <c r="B35" s="32">
        <v>213936.9</v>
      </c>
    </row>
    <row r="36" spans="1:2">
      <c r="A36" s="23" t="s">
        <v>172</v>
      </c>
      <c r="B36" s="32">
        <v>719913.01</v>
      </c>
    </row>
    <row r="37" spans="1:2">
      <c r="A37" s="23" t="s">
        <v>585</v>
      </c>
      <c r="B37" s="32">
        <v>1171103.33</v>
      </c>
    </row>
    <row r="38" spans="1:2">
      <c r="A38" s="23" t="s">
        <v>893</v>
      </c>
      <c r="B38" s="32">
        <v>219690.99999999997</v>
      </c>
    </row>
    <row r="39" spans="1:2">
      <c r="A39" s="23" t="s">
        <v>523</v>
      </c>
      <c r="B39" s="32">
        <v>211014.96</v>
      </c>
    </row>
    <row r="40" spans="1:2">
      <c r="A40" s="23" t="s">
        <v>1222</v>
      </c>
      <c r="B40" s="32">
        <v>499455.77</v>
      </c>
    </row>
    <row r="41" spans="1:2">
      <c r="A41" s="23" t="s">
        <v>873</v>
      </c>
      <c r="B41" s="32">
        <v>317658.06</v>
      </c>
    </row>
    <row r="42" spans="1:2">
      <c r="A42" s="23" t="s">
        <v>406</v>
      </c>
      <c r="B42" s="32">
        <v>1578490.76</v>
      </c>
    </row>
    <row r="43" spans="1:2">
      <c r="A43" s="23" t="s">
        <v>1409</v>
      </c>
      <c r="B43" s="32">
        <v>267031.24</v>
      </c>
    </row>
    <row r="44" spans="1:2">
      <c r="A44" s="23" t="s">
        <v>2668</v>
      </c>
      <c r="B44" s="32">
        <v>98255.31</v>
      </c>
    </row>
    <row r="45" spans="1:2">
      <c r="A45" s="23" t="s">
        <v>609</v>
      </c>
      <c r="B45" s="32">
        <v>431225.59</v>
      </c>
    </row>
    <row r="46" spans="1:2">
      <c r="A46" s="23" t="s">
        <v>1481</v>
      </c>
      <c r="B46" s="32">
        <v>91618.18</v>
      </c>
    </row>
    <row r="47" spans="1:2">
      <c r="A47" s="23" t="s">
        <v>391</v>
      </c>
      <c r="B47" s="32">
        <v>228629.35</v>
      </c>
    </row>
    <row r="48" spans="1:2">
      <c r="A48" s="23" t="s">
        <v>176</v>
      </c>
      <c r="B48" s="32">
        <v>665376.86</v>
      </c>
    </row>
    <row r="49" spans="1:2">
      <c r="A49" s="23" t="s">
        <v>1846</v>
      </c>
      <c r="B49" s="32">
        <v>214543.4</v>
      </c>
    </row>
    <row r="50" spans="1:2">
      <c r="A50" s="23" t="s">
        <v>1342</v>
      </c>
      <c r="B50" s="32">
        <v>638622.62000000011</v>
      </c>
    </row>
    <row r="51" spans="1:2">
      <c r="A51" s="23" t="s">
        <v>868</v>
      </c>
      <c r="B51" s="32">
        <v>640792.78</v>
      </c>
    </row>
    <row r="52" spans="1:2">
      <c r="A52" s="23" t="s">
        <v>746</v>
      </c>
      <c r="B52" s="32">
        <v>737058.21</v>
      </c>
    </row>
    <row r="53" spans="1:2">
      <c r="A53" s="23" t="s">
        <v>13</v>
      </c>
      <c r="B53" s="32">
        <v>367008.04999999993</v>
      </c>
    </row>
    <row r="54" spans="1:2">
      <c r="A54" s="23" t="s">
        <v>719</v>
      </c>
      <c r="B54" s="32">
        <v>397280.78</v>
      </c>
    </row>
    <row r="55" spans="1:2">
      <c r="A55" s="23" t="s">
        <v>227</v>
      </c>
      <c r="B55" s="32">
        <v>446010.50000000012</v>
      </c>
    </row>
    <row r="56" spans="1:2">
      <c r="A56" s="23" t="s">
        <v>1270</v>
      </c>
      <c r="B56" s="32">
        <v>612523.01</v>
      </c>
    </row>
    <row r="57" spans="1:2">
      <c r="A57" s="23" t="s">
        <v>450</v>
      </c>
      <c r="B57" s="32">
        <v>16499.400000000001</v>
      </c>
    </row>
    <row r="58" spans="1:2">
      <c r="A58" s="23" t="s">
        <v>1037</v>
      </c>
      <c r="B58" s="32">
        <v>843798.3899999999</v>
      </c>
    </row>
    <row r="59" spans="1:2">
      <c r="A59" s="23" t="s">
        <v>640</v>
      </c>
      <c r="B59" s="32">
        <v>299490.08</v>
      </c>
    </row>
    <row r="60" spans="1:2">
      <c r="A60" s="23" t="s">
        <v>506</v>
      </c>
      <c r="B60" s="32">
        <v>334559.88</v>
      </c>
    </row>
    <row r="61" spans="1:2">
      <c r="A61" s="23" t="s">
        <v>339</v>
      </c>
      <c r="B61" s="32">
        <v>609548.08000000007</v>
      </c>
    </row>
    <row r="62" spans="1:2">
      <c r="A62" s="23" t="s">
        <v>183</v>
      </c>
      <c r="B62" s="32">
        <v>1245838.4500000002</v>
      </c>
    </row>
    <row r="63" spans="1:2">
      <c r="A63" s="23" t="s">
        <v>168</v>
      </c>
      <c r="B63" s="32">
        <v>385266.98</v>
      </c>
    </row>
    <row r="64" spans="1:2">
      <c r="A64" s="23" t="s">
        <v>510</v>
      </c>
      <c r="B64" s="32">
        <v>437035.54000000004</v>
      </c>
    </row>
    <row r="65" spans="1:2">
      <c r="A65" s="23" t="s">
        <v>526</v>
      </c>
      <c r="B65" s="32">
        <v>625974.22</v>
      </c>
    </row>
    <row r="66" spans="1:2">
      <c r="A66" s="23" t="s">
        <v>602</v>
      </c>
      <c r="B66" s="32">
        <v>36587.919999999998</v>
      </c>
    </row>
    <row r="67" spans="1:2">
      <c r="A67" s="23" t="s">
        <v>87</v>
      </c>
      <c r="B67" s="32">
        <v>1016615.4500000001</v>
      </c>
    </row>
    <row r="68" spans="1:2">
      <c r="A68" s="23" t="s">
        <v>1239</v>
      </c>
      <c r="B68" s="32">
        <v>533015.02</v>
      </c>
    </row>
    <row r="69" spans="1:2">
      <c r="A69" s="23" t="s">
        <v>129</v>
      </c>
      <c r="B69" s="32">
        <v>435872.24</v>
      </c>
    </row>
    <row r="70" spans="1:2">
      <c r="A70" s="23" t="s">
        <v>361</v>
      </c>
      <c r="B70" s="32">
        <v>623708.92000000004</v>
      </c>
    </row>
    <row r="71" spans="1:2">
      <c r="A71" s="23" t="s">
        <v>112</v>
      </c>
      <c r="B71" s="32">
        <v>193512.53</v>
      </c>
    </row>
    <row r="72" spans="1:2">
      <c r="A72" s="23" t="s">
        <v>1524</v>
      </c>
      <c r="B72" s="32">
        <v>324318.12</v>
      </c>
    </row>
    <row r="73" spans="1:2">
      <c r="A73" s="23" t="s">
        <v>108</v>
      </c>
      <c r="B73" s="32">
        <v>648758.70000000007</v>
      </c>
    </row>
    <row r="74" spans="1:2">
      <c r="A74" s="23" t="s">
        <v>530</v>
      </c>
      <c r="B74" s="32">
        <v>483010.12</v>
      </c>
    </row>
    <row r="75" spans="1:2">
      <c r="A75" s="23" t="s">
        <v>1496</v>
      </c>
      <c r="B75" s="32">
        <v>202208.76</v>
      </c>
    </row>
    <row r="76" spans="1:2">
      <c r="A76" s="23" t="s">
        <v>800</v>
      </c>
      <c r="B76" s="32">
        <v>197027.7</v>
      </c>
    </row>
    <row r="77" spans="1:2">
      <c r="A77" s="23" t="s">
        <v>520</v>
      </c>
      <c r="B77" s="32">
        <v>1001459.48</v>
      </c>
    </row>
    <row r="78" spans="1:2">
      <c r="A78" s="23" t="s">
        <v>1200</v>
      </c>
      <c r="B78" s="32">
        <v>487506.6</v>
      </c>
    </row>
    <row r="79" spans="1:2">
      <c r="A79" s="23" t="s">
        <v>467</v>
      </c>
      <c r="B79" s="32">
        <v>1044614.5099999999</v>
      </c>
    </row>
    <row r="80" spans="1:2">
      <c r="A80" s="23" t="s">
        <v>1844</v>
      </c>
      <c r="B80" s="32">
        <v>67695.930000000008</v>
      </c>
    </row>
    <row r="81" spans="1:2">
      <c r="A81" s="23" t="s">
        <v>2339</v>
      </c>
      <c r="B81" s="32">
        <v>125483.1</v>
      </c>
    </row>
    <row r="82" spans="1:2">
      <c r="A82" s="23" t="s">
        <v>315</v>
      </c>
      <c r="B82" s="32">
        <v>828268.6</v>
      </c>
    </row>
    <row r="83" spans="1:2">
      <c r="A83" s="23" t="s">
        <v>2228</v>
      </c>
      <c r="B83" s="32">
        <v>12225.22</v>
      </c>
    </row>
    <row r="84" spans="1:2">
      <c r="A84" s="23" t="s">
        <v>577</v>
      </c>
      <c r="B84" s="32">
        <v>250111.04</v>
      </c>
    </row>
    <row r="85" spans="1:2">
      <c r="A85" s="23" t="s">
        <v>905</v>
      </c>
      <c r="B85" s="32">
        <v>1170455.07</v>
      </c>
    </row>
    <row r="86" spans="1:2">
      <c r="A86" s="23" t="s">
        <v>1394</v>
      </c>
      <c r="B86" s="32">
        <v>425093.49</v>
      </c>
    </row>
    <row r="87" spans="1:2">
      <c r="A87" s="23" t="s">
        <v>543</v>
      </c>
      <c r="B87" s="32">
        <v>568465.05000000005</v>
      </c>
    </row>
    <row r="88" spans="1:2">
      <c r="A88" s="23" t="s">
        <v>776</v>
      </c>
      <c r="B88" s="32">
        <v>720567.42999999993</v>
      </c>
    </row>
    <row r="89" spans="1:2">
      <c r="A89" s="23" t="s">
        <v>1025</v>
      </c>
      <c r="B89" s="32">
        <v>106419.88</v>
      </c>
    </row>
    <row r="90" spans="1:2">
      <c r="A90" s="23" t="s">
        <v>830</v>
      </c>
      <c r="B90" s="32">
        <v>283722.64</v>
      </c>
    </row>
    <row r="91" spans="1:2">
      <c r="A91" s="23" t="s">
        <v>661</v>
      </c>
      <c r="B91" s="32">
        <v>241032.51</v>
      </c>
    </row>
    <row r="92" spans="1:2">
      <c r="A92" s="23" t="s">
        <v>1877</v>
      </c>
      <c r="B92" s="32">
        <v>47539.35</v>
      </c>
    </row>
    <row r="93" spans="1:2">
      <c r="A93" s="23" t="s">
        <v>133</v>
      </c>
      <c r="B93" s="32">
        <v>959013.60999999987</v>
      </c>
    </row>
    <row r="94" spans="1:2">
      <c r="A94" s="23" t="s">
        <v>846</v>
      </c>
      <c r="B94" s="32">
        <v>22073.279999999999</v>
      </c>
    </row>
    <row r="95" spans="1:2">
      <c r="A95" s="23" t="s">
        <v>1138</v>
      </c>
      <c r="B95" s="32">
        <v>684713.52</v>
      </c>
    </row>
    <row r="96" spans="1:2">
      <c r="A96" s="23" t="s">
        <v>1768</v>
      </c>
      <c r="B96" s="32">
        <v>261998.07999999999</v>
      </c>
    </row>
    <row r="97" spans="1:2">
      <c r="A97" s="23" t="s">
        <v>327</v>
      </c>
      <c r="B97" s="32">
        <v>86527.34</v>
      </c>
    </row>
    <row r="98" spans="1:2">
      <c r="A98" s="23" t="s">
        <v>1515</v>
      </c>
      <c r="B98" s="32">
        <v>153670.14000000001</v>
      </c>
    </row>
    <row r="99" spans="1:2">
      <c r="A99" s="23" t="s">
        <v>62</v>
      </c>
      <c r="B99" s="32">
        <v>1429318.04</v>
      </c>
    </row>
    <row r="100" spans="1:2">
      <c r="A100" s="23" t="s">
        <v>1490</v>
      </c>
      <c r="B100" s="32">
        <v>286616.56000000006</v>
      </c>
    </row>
    <row r="101" spans="1:2">
      <c r="A101" s="23" t="s">
        <v>943</v>
      </c>
      <c r="B101" s="32">
        <v>869053.62000000011</v>
      </c>
    </row>
    <row r="102" spans="1:2">
      <c r="A102" s="23" t="s">
        <v>1793</v>
      </c>
      <c r="B102" s="32">
        <v>186072.9</v>
      </c>
    </row>
    <row r="103" spans="1:2">
      <c r="A103" s="23" t="s">
        <v>195</v>
      </c>
      <c r="B103" s="32">
        <v>283800.74</v>
      </c>
    </row>
    <row r="104" spans="1:2">
      <c r="A104" s="23" t="s">
        <v>187</v>
      </c>
      <c r="B104" s="32">
        <v>415241.48</v>
      </c>
    </row>
    <row r="105" spans="1:2">
      <c r="A105" s="23" t="s">
        <v>2184</v>
      </c>
      <c r="B105" s="32">
        <v>175335.5</v>
      </c>
    </row>
    <row r="106" spans="1:2">
      <c r="A106" s="23" t="s">
        <v>2100</v>
      </c>
      <c r="B106" s="32">
        <v>370815.73</v>
      </c>
    </row>
    <row r="107" spans="1:2">
      <c r="A107" s="23" t="s">
        <v>83</v>
      </c>
      <c r="B107" s="32">
        <v>206248.56</v>
      </c>
    </row>
    <row r="108" spans="1:2">
      <c r="A108" s="23" t="s">
        <v>1499</v>
      </c>
      <c r="B108" s="32">
        <v>216126.48</v>
      </c>
    </row>
    <row r="109" spans="1:2">
      <c r="A109" s="23" t="s">
        <v>207</v>
      </c>
      <c r="B109" s="32">
        <v>284944.09999999998</v>
      </c>
    </row>
    <row r="110" spans="1:2">
      <c r="A110" s="23" t="s">
        <v>707</v>
      </c>
      <c r="B110" s="32">
        <v>200684.65000000002</v>
      </c>
    </row>
    <row r="111" spans="1:2">
      <c r="A111" s="23" t="s">
        <v>383</v>
      </c>
      <c r="B111" s="32">
        <v>928766.69</v>
      </c>
    </row>
    <row r="112" spans="1:2">
      <c r="A112" s="23" t="s">
        <v>2046</v>
      </c>
      <c r="B112" s="32">
        <v>121791.05</v>
      </c>
    </row>
    <row r="113" spans="1:2">
      <c r="A113" s="23" t="s">
        <v>1230</v>
      </c>
      <c r="B113" s="32">
        <v>266481.64</v>
      </c>
    </row>
    <row r="114" spans="1:2">
      <c r="A114" s="23" t="s">
        <v>1184</v>
      </c>
      <c r="B114" s="32">
        <v>165569.18</v>
      </c>
    </row>
    <row r="115" spans="1:2">
      <c r="A115" s="23" t="s">
        <v>73</v>
      </c>
      <c r="B115" s="32">
        <v>544509.42000000004</v>
      </c>
    </row>
    <row r="116" spans="1:2">
      <c r="A116" s="23" t="s">
        <v>164</v>
      </c>
      <c r="B116" s="32">
        <v>277904.09000000003</v>
      </c>
    </row>
    <row r="117" spans="1:2">
      <c r="A117" s="23" t="s">
        <v>880</v>
      </c>
      <c r="B117" s="32">
        <v>972585.47</v>
      </c>
    </row>
    <row r="118" spans="1:2">
      <c r="A118" s="23" t="s">
        <v>66</v>
      </c>
      <c r="B118" s="32">
        <v>625825.69999999995</v>
      </c>
    </row>
    <row r="119" spans="1:2">
      <c r="A119" s="23" t="s">
        <v>79</v>
      </c>
      <c r="B119" s="32">
        <v>603688.07000000007</v>
      </c>
    </row>
    <row r="120" spans="1:2">
      <c r="A120" s="23" t="s">
        <v>1110</v>
      </c>
      <c r="B120" s="32">
        <v>225409.88</v>
      </c>
    </row>
    <row r="121" spans="1:2">
      <c r="A121" s="23" t="s">
        <v>1936</v>
      </c>
      <c r="B121" s="32">
        <v>137016.05000000002</v>
      </c>
    </row>
    <row r="122" spans="1:2">
      <c r="A122" s="23" t="s">
        <v>1006</v>
      </c>
      <c r="B122" s="32">
        <v>516793.88</v>
      </c>
    </row>
    <row r="123" spans="1:2">
      <c r="A123" s="23" t="s">
        <v>653</v>
      </c>
      <c r="B123" s="32">
        <v>681348.66999999993</v>
      </c>
    </row>
    <row r="124" spans="1:2">
      <c r="A124" s="23" t="s">
        <v>211</v>
      </c>
      <c r="B124" s="32">
        <v>217182.66</v>
      </c>
    </row>
    <row r="125" spans="1:2">
      <c r="A125" s="23" t="s">
        <v>1386</v>
      </c>
      <c r="B125" s="32">
        <v>608410.46</v>
      </c>
    </row>
    <row r="126" spans="1:2">
      <c r="A126" s="23" t="s">
        <v>28</v>
      </c>
      <c r="B126" s="32">
        <v>616989.48</v>
      </c>
    </row>
    <row r="127" spans="1:2">
      <c r="A127" s="23" t="s">
        <v>2090</v>
      </c>
      <c r="B127" s="32">
        <v>117566.37</v>
      </c>
    </row>
    <row r="128" spans="1:2">
      <c r="A128" s="23" t="s">
        <v>1672</v>
      </c>
      <c r="B128" s="32">
        <v>40250.629999999997</v>
      </c>
    </row>
    <row r="129" spans="1:2">
      <c r="A129" s="23" t="s">
        <v>278</v>
      </c>
      <c r="B129" s="32">
        <v>638646.07999999996</v>
      </c>
    </row>
    <row r="130" spans="1:2">
      <c r="A130" s="23" t="s">
        <v>2630</v>
      </c>
      <c r="B130" s="32">
        <v>711122.52</v>
      </c>
    </row>
    <row r="131" spans="1:2">
      <c r="A131" s="23" t="s">
        <v>2473</v>
      </c>
      <c r="B131" s="32">
        <v>139833.82</v>
      </c>
    </row>
    <row r="132" spans="1:2">
      <c r="A132" s="23" t="s">
        <v>479</v>
      </c>
      <c r="B132" s="32">
        <v>772373.07</v>
      </c>
    </row>
    <row r="133" spans="1:2">
      <c r="A133" s="23" t="s">
        <v>2077</v>
      </c>
      <c r="B133" s="32">
        <v>106274.97</v>
      </c>
    </row>
    <row r="134" spans="1:2">
      <c r="A134" s="23" t="s">
        <v>2286</v>
      </c>
      <c r="B134" s="32">
        <v>59786.310000000005</v>
      </c>
    </row>
    <row r="135" spans="1:2">
      <c r="A135" s="23" t="s">
        <v>2312</v>
      </c>
      <c r="B135" s="32">
        <v>402956.64</v>
      </c>
    </row>
    <row r="136" spans="1:2">
      <c r="A136" s="23" t="s">
        <v>2104</v>
      </c>
      <c r="B136" s="32">
        <v>188291.24</v>
      </c>
    </row>
    <row r="137" spans="1:2">
      <c r="A137" s="23" t="s">
        <v>1442</v>
      </c>
      <c r="B137" s="32">
        <v>171199.65999999997</v>
      </c>
    </row>
    <row r="138" spans="1:2">
      <c r="A138" s="23" t="s">
        <v>1129</v>
      </c>
      <c r="B138" s="32">
        <v>414789.57</v>
      </c>
    </row>
    <row r="139" spans="1:2">
      <c r="A139" s="23" t="s">
        <v>1432</v>
      </c>
      <c r="B139" s="32">
        <v>1229.02</v>
      </c>
    </row>
    <row r="140" spans="1:2">
      <c r="A140" s="23" t="s">
        <v>1582</v>
      </c>
      <c r="B140" s="32">
        <v>241646.03999999998</v>
      </c>
    </row>
    <row r="141" spans="1:2">
      <c r="A141" s="23" t="s">
        <v>533</v>
      </c>
      <c r="B141" s="32">
        <v>116346.33</v>
      </c>
    </row>
    <row r="142" spans="1:2">
      <c r="A142" s="23" t="s">
        <v>191</v>
      </c>
      <c r="B142" s="32">
        <v>669143.97</v>
      </c>
    </row>
    <row r="143" spans="1:2">
      <c r="A143" s="23" t="s">
        <v>1881</v>
      </c>
      <c r="B143" s="32">
        <v>202982.75</v>
      </c>
    </row>
    <row r="144" spans="1:2">
      <c r="A144" s="23" t="s">
        <v>1608</v>
      </c>
      <c r="B144" s="32">
        <v>222617.52000000002</v>
      </c>
    </row>
    <row r="145" spans="1:2">
      <c r="A145" s="23" t="s">
        <v>619</v>
      </c>
      <c r="B145" s="32">
        <v>762761.55</v>
      </c>
    </row>
    <row r="146" spans="1:2">
      <c r="A146" s="23" t="s">
        <v>673</v>
      </c>
      <c r="B146" s="32">
        <v>1251517.9600000002</v>
      </c>
    </row>
    <row r="147" spans="1:2">
      <c r="A147" s="23" t="s">
        <v>723</v>
      </c>
      <c r="B147" s="32">
        <v>324316.63</v>
      </c>
    </row>
    <row r="148" spans="1:2">
      <c r="A148" s="23" t="s">
        <v>1245</v>
      </c>
      <c r="B148" s="32">
        <v>154570.56</v>
      </c>
    </row>
    <row r="149" spans="1:2">
      <c r="A149" s="23" t="s">
        <v>665</v>
      </c>
      <c r="B149" s="32">
        <v>1308365.6099999999</v>
      </c>
    </row>
    <row r="150" spans="1:2">
      <c r="A150" s="23" t="s">
        <v>235</v>
      </c>
      <c r="B150" s="32">
        <v>617268.59</v>
      </c>
    </row>
    <row r="151" spans="1:2">
      <c r="A151" s="23" t="s">
        <v>1426</v>
      </c>
      <c r="B151" s="32">
        <v>777662.65</v>
      </c>
    </row>
    <row r="152" spans="1:2">
      <c r="A152" s="23" t="s">
        <v>2611</v>
      </c>
      <c r="B152" s="32">
        <v>127543.5</v>
      </c>
    </row>
    <row r="153" spans="1:2">
      <c r="A153" s="23" t="s">
        <v>1248</v>
      </c>
      <c r="B153" s="32">
        <v>551755.06000000006</v>
      </c>
    </row>
    <row r="154" spans="1:2">
      <c r="A154" s="23" t="s">
        <v>496</v>
      </c>
      <c r="B154" s="32">
        <v>591719.15</v>
      </c>
    </row>
    <row r="155" spans="1:2">
      <c r="A155" s="23" t="s">
        <v>1331</v>
      </c>
      <c r="B155" s="32">
        <v>82162.03</v>
      </c>
    </row>
    <row r="156" spans="1:2">
      <c r="A156" s="23" t="s">
        <v>1257</v>
      </c>
      <c r="B156" s="32">
        <v>85037.6</v>
      </c>
    </row>
    <row r="157" spans="1:2">
      <c r="A157" s="23" t="s">
        <v>1451</v>
      </c>
      <c r="B157" s="32">
        <v>726170.09000000008</v>
      </c>
    </row>
    <row r="158" spans="1:2">
      <c r="A158" s="23" t="s">
        <v>1301</v>
      </c>
      <c r="B158" s="32">
        <v>48695.59</v>
      </c>
    </row>
    <row r="159" spans="1:2">
      <c r="A159" s="23" t="s">
        <v>927</v>
      </c>
      <c r="B159" s="32">
        <v>400840.02</v>
      </c>
    </row>
    <row r="160" spans="1:2">
      <c r="A160" s="23" t="s">
        <v>308</v>
      </c>
      <c r="B160" s="32">
        <v>395746</v>
      </c>
    </row>
    <row r="161" spans="1:2">
      <c r="A161" s="23" t="s">
        <v>1796</v>
      </c>
      <c r="B161" s="32">
        <v>258201.16</v>
      </c>
    </row>
    <row r="162" spans="1:2">
      <c r="A162" s="23" t="s">
        <v>676</v>
      </c>
      <c r="B162" s="32">
        <v>805528.83000000007</v>
      </c>
    </row>
    <row r="163" spans="1:2">
      <c r="A163" s="23" t="s">
        <v>939</v>
      </c>
      <c r="B163" s="32">
        <v>587281.31000000006</v>
      </c>
    </row>
    <row r="164" spans="1:2">
      <c r="A164" s="23" t="s">
        <v>292</v>
      </c>
      <c r="B164" s="32">
        <v>466038.69999999995</v>
      </c>
    </row>
    <row r="165" spans="1:2">
      <c r="A165" s="23" t="s">
        <v>860</v>
      </c>
      <c r="B165" s="32">
        <v>331928.42000000004</v>
      </c>
    </row>
    <row r="166" spans="1:2">
      <c r="A166" s="23" t="s">
        <v>589</v>
      </c>
      <c r="B166" s="32">
        <v>549789.11</v>
      </c>
    </row>
    <row r="167" spans="1:2">
      <c r="A167" s="23" t="s">
        <v>1823</v>
      </c>
      <c r="B167" s="32">
        <v>100174.51999999999</v>
      </c>
    </row>
    <row r="168" spans="1:2">
      <c r="A168" s="23" t="s">
        <v>2622</v>
      </c>
      <c r="B168" s="32">
        <v>162554.32</v>
      </c>
    </row>
    <row r="169" spans="1:2">
      <c r="A169" s="23" t="s">
        <v>1355</v>
      </c>
      <c r="B169" s="32">
        <v>169281.32</v>
      </c>
    </row>
    <row r="170" spans="1:2">
      <c r="A170" s="23" t="s">
        <v>557</v>
      </c>
      <c r="B170" s="32">
        <v>849822.09</v>
      </c>
    </row>
    <row r="171" spans="1:2">
      <c r="A171" s="23" t="s">
        <v>680</v>
      </c>
      <c r="B171" s="32">
        <v>354144.58999999997</v>
      </c>
    </row>
    <row r="172" spans="1:2">
      <c r="A172" s="23" t="s">
        <v>1731</v>
      </c>
      <c r="B172" s="32">
        <v>338531.22</v>
      </c>
    </row>
    <row r="173" spans="1:2">
      <c r="A173" s="23" t="s">
        <v>203</v>
      </c>
      <c r="B173" s="32">
        <v>714092.55999999994</v>
      </c>
    </row>
    <row r="174" spans="1:2">
      <c r="A174" s="23" t="s">
        <v>1652</v>
      </c>
      <c r="B174" s="32">
        <v>411098.3</v>
      </c>
    </row>
    <row r="175" spans="1:2">
      <c r="A175" s="23" t="s">
        <v>268</v>
      </c>
      <c r="B175" s="32">
        <v>442459.06999999995</v>
      </c>
    </row>
    <row r="176" spans="1:2">
      <c r="A176" s="23" t="s">
        <v>239</v>
      </c>
      <c r="B176" s="32">
        <v>1081809.3599999999</v>
      </c>
    </row>
    <row r="177" spans="1:2">
      <c r="A177" s="23" t="s">
        <v>489</v>
      </c>
      <c r="B177" s="32">
        <v>349750.25</v>
      </c>
    </row>
    <row r="178" spans="1:2">
      <c r="A178" s="23" t="s">
        <v>933</v>
      </c>
      <c r="B178" s="32">
        <v>473364.16</v>
      </c>
    </row>
    <row r="179" spans="1:2">
      <c r="A179" s="23" t="s">
        <v>2433</v>
      </c>
      <c r="B179" s="32">
        <v>215754.42</v>
      </c>
    </row>
    <row r="180" spans="1:2">
      <c r="A180" s="23" t="s">
        <v>458</v>
      </c>
      <c r="B180" s="32">
        <v>686361.27999999991</v>
      </c>
    </row>
    <row r="181" spans="1:2">
      <c r="A181" s="23" t="s">
        <v>2003</v>
      </c>
      <c r="B181" s="32">
        <v>62003.61</v>
      </c>
    </row>
    <row r="182" spans="1:2">
      <c r="A182" s="23" t="s">
        <v>815</v>
      </c>
      <c r="B182" s="32">
        <v>780035.64000000013</v>
      </c>
    </row>
    <row r="183" spans="1:2">
      <c r="A183" s="23" t="s">
        <v>1892</v>
      </c>
      <c r="B183" s="32">
        <v>87386.72</v>
      </c>
    </row>
    <row r="184" spans="1:2">
      <c r="A184" s="23" t="s">
        <v>271</v>
      </c>
      <c r="B184" s="32">
        <v>143666.44</v>
      </c>
    </row>
    <row r="185" spans="1:2">
      <c r="A185" s="23" t="s">
        <v>1192</v>
      </c>
      <c r="B185" s="32">
        <v>332643.90000000002</v>
      </c>
    </row>
    <row r="186" spans="1:2">
      <c r="A186" s="23" t="s">
        <v>794</v>
      </c>
      <c r="B186" s="32">
        <v>534254.91999999993</v>
      </c>
    </row>
    <row r="187" spans="1:2">
      <c r="A187" s="23" t="s">
        <v>1123</v>
      </c>
      <c r="B187" s="32">
        <v>511167.64999999997</v>
      </c>
    </row>
    <row r="188" spans="1:2">
      <c r="A188" s="23" t="s">
        <v>1418</v>
      </c>
      <c r="B188" s="32">
        <v>707263.84000000008</v>
      </c>
    </row>
    <row r="189" spans="1:2">
      <c r="A189" s="23" t="s">
        <v>599</v>
      </c>
      <c r="B189" s="32">
        <v>565694.16</v>
      </c>
    </row>
    <row r="190" spans="1:2">
      <c r="A190" s="23" t="s">
        <v>1151</v>
      </c>
      <c r="B190" s="32">
        <v>167795.58</v>
      </c>
    </row>
    <row r="191" spans="1:2">
      <c r="A191" s="23" t="s">
        <v>104</v>
      </c>
      <c r="B191" s="32">
        <v>333300.72000000003</v>
      </c>
    </row>
    <row r="192" spans="1:2">
      <c r="A192" s="23" t="s">
        <v>282</v>
      </c>
      <c r="B192" s="32">
        <v>89054.9</v>
      </c>
    </row>
    <row r="193" spans="1:2">
      <c r="A193" s="23" t="s">
        <v>1859</v>
      </c>
      <c r="B193" s="32">
        <v>455182.97</v>
      </c>
    </row>
    <row r="194" spans="1:2">
      <c r="A194" s="23" t="s">
        <v>1050</v>
      </c>
      <c r="B194" s="32">
        <v>856468.36</v>
      </c>
    </row>
    <row r="195" spans="1:2">
      <c r="A195" s="23" t="s">
        <v>1085</v>
      </c>
      <c r="B195" s="32">
        <v>312531.66000000003</v>
      </c>
    </row>
    <row r="196" spans="1:2">
      <c r="A196" s="23" t="s">
        <v>1504</v>
      </c>
      <c r="B196" s="32">
        <v>283079.69</v>
      </c>
    </row>
    <row r="197" spans="1:2">
      <c r="A197" s="23" t="s">
        <v>550</v>
      </c>
      <c r="B197" s="32">
        <v>457330.83</v>
      </c>
    </row>
    <row r="198" spans="1:2">
      <c r="A198" s="23" t="s">
        <v>137</v>
      </c>
      <c r="B198" s="32">
        <v>329849.45999999996</v>
      </c>
    </row>
    <row r="199" spans="1:2">
      <c r="A199" s="23" t="s">
        <v>1074</v>
      </c>
      <c r="B199" s="32">
        <v>3727.43</v>
      </c>
    </row>
    <row r="200" spans="1:2">
      <c r="A200" s="23" t="s">
        <v>968</v>
      </c>
      <c r="B200" s="32">
        <v>1132054.5399999998</v>
      </c>
    </row>
    <row r="201" spans="1:2">
      <c r="A201" s="23" t="s">
        <v>1841</v>
      </c>
      <c r="B201" s="32">
        <v>524698.53999999992</v>
      </c>
    </row>
    <row r="202" spans="1:2">
      <c r="A202" s="23" t="s">
        <v>644</v>
      </c>
      <c r="B202" s="32">
        <v>430527.84</v>
      </c>
    </row>
    <row r="203" spans="1:2">
      <c r="A203" s="23" t="s">
        <v>1412</v>
      </c>
      <c r="B203" s="32">
        <v>118742.95999999999</v>
      </c>
    </row>
    <row r="204" spans="1:2">
      <c r="A204" s="23" t="s">
        <v>149</v>
      </c>
      <c r="B204" s="32">
        <v>105732.81</v>
      </c>
    </row>
    <row r="205" spans="1:2">
      <c r="A205" s="23" t="s">
        <v>141</v>
      </c>
      <c r="B205" s="32">
        <v>120601.31</v>
      </c>
    </row>
    <row r="206" spans="1:2">
      <c r="A206" s="23" t="s">
        <v>1218</v>
      </c>
      <c r="B206" s="32">
        <v>361914.47</v>
      </c>
    </row>
    <row r="207" spans="1:2">
      <c r="A207" s="23" t="s">
        <v>2489</v>
      </c>
      <c r="B207" s="32">
        <v>396508.07999999996</v>
      </c>
    </row>
    <row r="208" spans="1:2">
      <c r="A208" s="23" t="s">
        <v>2006</v>
      </c>
      <c r="B208" s="32">
        <v>742804.24</v>
      </c>
    </row>
    <row r="209" spans="1:2">
      <c r="A209" s="23" t="s">
        <v>296</v>
      </c>
      <c r="B209" s="32">
        <v>271389.68</v>
      </c>
    </row>
    <row r="210" spans="1:2">
      <c r="A210" s="23" t="s">
        <v>2371</v>
      </c>
      <c r="B210" s="32">
        <v>126051.16</v>
      </c>
    </row>
    <row r="211" spans="1:2">
      <c r="A211" s="23" t="s">
        <v>913</v>
      </c>
      <c r="B211" s="32">
        <v>182906.4</v>
      </c>
    </row>
    <row r="212" spans="1:2">
      <c r="A212" s="23" t="s">
        <v>2087</v>
      </c>
      <c r="B212" s="32">
        <v>13705.83</v>
      </c>
    </row>
    <row r="213" spans="1:2">
      <c r="A213" s="23" t="s">
        <v>991</v>
      </c>
      <c r="B213" s="32">
        <v>97209.96</v>
      </c>
    </row>
    <row r="214" spans="1:2">
      <c r="A214" s="23" t="s">
        <v>2719</v>
      </c>
      <c r="B214" s="32">
        <v>313519.95</v>
      </c>
    </row>
    <row r="215" spans="1:2">
      <c r="A215" s="23" t="s">
        <v>335</v>
      </c>
      <c r="B215" s="32">
        <v>17548.5</v>
      </c>
    </row>
    <row r="216" spans="1:2">
      <c r="A216" s="23" t="s">
        <v>1536</v>
      </c>
      <c r="B216" s="32">
        <v>867100.5199999999</v>
      </c>
    </row>
    <row r="217" spans="1:2">
      <c r="A217" s="23" t="s">
        <v>357</v>
      </c>
      <c r="B217" s="32">
        <v>568341.48</v>
      </c>
    </row>
    <row r="218" spans="1:2">
      <c r="A218" s="23" t="s">
        <v>304</v>
      </c>
      <c r="B218" s="32">
        <v>1138958.6299999999</v>
      </c>
    </row>
    <row r="219" spans="1:2">
      <c r="A219" s="23" t="s">
        <v>1126</v>
      </c>
      <c r="B219" s="32">
        <v>275391.42</v>
      </c>
    </row>
    <row r="220" spans="1:2">
      <c r="A220" s="23" t="s">
        <v>1071</v>
      </c>
      <c r="B220" s="32">
        <v>203819.75</v>
      </c>
    </row>
    <row r="221" spans="1:2">
      <c r="A221" s="23" t="s">
        <v>908</v>
      </c>
      <c r="B221" s="32">
        <v>64336.72</v>
      </c>
    </row>
    <row r="222" spans="1:2">
      <c r="A222" s="23" t="s">
        <v>1952</v>
      </c>
      <c r="B222" s="32">
        <v>241065.81</v>
      </c>
    </row>
    <row r="223" spans="1:2">
      <c r="A223" s="23" t="s">
        <v>91</v>
      </c>
      <c r="B223" s="32">
        <v>612161.94999999995</v>
      </c>
    </row>
    <row r="224" spans="1:2">
      <c r="A224" s="23" t="s">
        <v>605</v>
      </c>
      <c r="B224" s="32">
        <v>187801.78</v>
      </c>
    </row>
    <row r="225" spans="1:2">
      <c r="A225" s="23" t="s">
        <v>343</v>
      </c>
      <c r="B225" s="32">
        <v>111355.98</v>
      </c>
    </row>
    <row r="226" spans="1:2">
      <c r="A226" s="23" t="s">
        <v>215</v>
      </c>
      <c r="B226" s="32">
        <v>342076.57</v>
      </c>
    </row>
    <row r="227" spans="1:2">
      <c r="A227" s="23" t="s">
        <v>2283</v>
      </c>
      <c r="B227" s="32">
        <v>328096.23</v>
      </c>
    </row>
    <row r="228" spans="1:2">
      <c r="A228" s="23" t="s">
        <v>447</v>
      </c>
      <c r="B228" s="32">
        <v>879059.16999999993</v>
      </c>
    </row>
    <row r="229" spans="1:2">
      <c r="A229" s="23" t="s">
        <v>852</v>
      </c>
      <c r="B229" s="32">
        <v>464137.49</v>
      </c>
    </row>
    <row r="230" spans="1:2">
      <c r="A230" s="23" t="s">
        <v>978</v>
      </c>
      <c r="B230" s="32">
        <v>272282.31</v>
      </c>
    </row>
    <row r="231" spans="1:2">
      <c r="A231" s="23" t="s">
        <v>1242</v>
      </c>
      <c r="B231" s="32">
        <v>375130.45999999996</v>
      </c>
    </row>
    <row r="232" spans="1:2">
      <c r="A232" s="23" t="s">
        <v>713</v>
      </c>
      <c r="B232" s="32">
        <v>274999.34999999998</v>
      </c>
    </row>
    <row r="233" spans="1:2">
      <c r="A233" s="23" t="s">
        <v>231</v>
      </c>
      <c r="B233" s="32">
        <v>837973.40999999992</v>
      </c>
    </row>
    <row r="234" spans="1:2">
      <c r="A234" s="23" t="s">
        <v>924</v>
      </c>
      <c r="B234" s="32">
        <v>43373.54</v>
      </c>
    </row>
    <row r="235" spans="1:2">
      <c r="A235" s="23" t="s">
        <v>973</v>
      </c>
      <c r="B235" s="32">
        <v>250397.41999999998</v>
      </c>
    </row>
    <row r="236" spans="1:2">
      <c r="A236" s="23" t="s">
        <v>1059</v>
      </c>
      <c r="B236" s="32">
        <v>99311.77</v>
      </c>
    </row>
    <row r="237" spans="1:2">
      <c r="A237" s="23" t="s">
        <v>581</v>
      </c>
      <c r="B237" s="32">
        <v>590579.95000000007</v>
      </c>
    </row>
    <row r="238" spans="1:2">
      <c r="A238" s="23" t="s">
        <v>125</v>
      </c>
      <c r="B238" s="32">
        <v>272158.09999999998</v>
      </c>
    </row>
    <row r="239" spans="1:2">
      <c r="A239" s="23" t="s">
        <v>1475</v>
      </c>
      <c r="B239" s="32">
        <v>27183.98</v>
      </c>
    </row>
    <row r="240" spans="1:2">
      <c r="A240" s="23" t="s">
        <v>1699</v>
      </c>
      <c r="B240" s="32">
        <v>48215.86</v>
      </c>
    </row>
    <row r="241" spans="1:2">
      <c r="A241" s="23" t="s">
        <v>574</v>
      </c>
      <c r="B241" s="32">
        <v>1031405.48</v>
      </c>
    </row>
    <row r="242" spans="1:2">
      <c r="A242" s="23" t="s">
        <v>440</v>
      </c>
      <c r="B242" s="32">
        <v>588289.68000000005</v>
      </c>
    </row>
    <row r="243" spans="1:2">
      <c r="A243" s="23" t="s">
        <v>2194</v>
      </c>
      <c r="B243" s="32">
        <v>17299.04</v>
      </c>
    </row>
    <row r="244" spans="1:2">
      <c r="A244" s="23" t="s">
        <v>612</v>
      </c>
      <c r="B244" s="32">
        <v>185307.11000000002</v>
      </c>
    </row>
    <row r="245" spans="1:2">
      <c r="A245" s="23" t="s">
        <v>885</v>
      </c>
      <c r="B245" s="32">
        <v>267318.91000000003</v>
      </c>
    </row>
    <row r="246" spans="1:2">
      <c r="A246" s="23" t="s">
        <v>199</v>
      </c>
      <c r="B246" s="32">
        <v>121529.76</v>
      </c>
    </row>
    <row r="247" spans="1:2">
      <c r="A247" s="23" t="s">
        <v>2159</v>
      </c>
      <c r="B247" s="32">
        <v>115263.96</v>
      </c>
    </row>
    <row r="248" spans="1:2">
      <c r="A248" s="23" t="s">
        <v>1805</v>
      </c>
      <c r="B248" s="32">
        <v>97826.15</v>
      </c>
    </row>
    <row r="249" spans="1:2">
      <c r="A249" s="23" t="s">
        <v>1254</v>
      </c>
      <c r="B249" s="32">
        <v>6050.27</v>
      </c>
    </row>
    <row r="250" spans="1:2">
      <c r="A250" s="23" t="s">
        <v>275</v>
      </c>
      <c r="B250" s="32">
        <v>331505.24</v>
      </c>
    </row>
    <row r="251" spans="1:2">
      <c r="A251" s="23" t="s">
        <v>2301</v>
      </c>
      <c r="B251" s="32">
        <v>158916.6</v>
      </c>
    </row>
    <row r="252" spans="1:2">
      <c r="A252" s="23" t="s">
        <v>2439</v>
      </c>
      <c r="B252" s="32">
        <v>343057.3</v>
      </c>
    </row>
    <row r="253" spans="1:2">
      <c r="A253" s="23" t="s">
        <v>1276</v>
      </c>
      <c r="B253" s="32">
        <v>392777.39</v>
      </c>
    </row>
    <row r="254" spans="1:2">
      <c r="A254" s="23" t="s">
        <v>987</v>
      </c>
      <c r="B254" s="32">
        <v>307017.81</v>
      </c>
    </row>
    <row r="255" spans="1:2">
      <c r="A255" s="23" t="s">
        <v>1227</v>
      </c>
      <c r="B255" s="32">
        <v>275135.32999999996</v>
      </c>
    </row>
    <row r="256" spans="1:2">
      <c r="A256" s="23" t="s">
        <v>1743</v>
      </c>
      <c r="B256" s="32">
        <v>284596.46000000002</v>
      </c>
    </row>
    <row r="257" spans="1:2">
      <c r="A257" s="23" t="s">
        <v>223</v>
      </c>
      <c r="B257" s="32">
        <v>280670.53000000003</v>
      </c>
    </row>
    <row r="258" spans="1:2">
      <c r="A258" s="23" t="s">
        <v>117</v>
      </c>
      <c r="B258" s="32">
        <v>617228.90999999992</v>
      </c>
    </row>
    <row r="259" spans="1:2">
      <c r="A259" s="23" t="s">
        <v>414</v>
      </c>
      <c r="B259" s="32">
        <v>457195.85000000003</v>
      </c>
    </row>
    <row r="260" spans="1:2">
      <c r="A260" s="23" t="s">
        <v>2097</v>
      </c>
      <c r="B260" s="32">
        <v>167403.22999999998</v>
      </c>
    </row>
    <row r="261" spans="1:2">
      <c r="A261" s="23" t="s">
        <v>804</v>
      </c>
      <c r="B261" s="32">
        <v>121853.1</v>
      </c>
    </row>
    <row r="262" spans="1:2">
      <c r="A262" s="23" t="s">
        <v>2476</v>
      </c>
      <c r="B262" s="32">
        <v>313708.77999999997</v>
      </c>
    </row>
    <row r="263" spans="1:2">
      <c r="A263" s="23" t="s">
        <v>1542</v>
      </c>
      <c r="B263" s="32">
        <v>1495.14</v>
      </c>
    </row>
    <row r="264" spans="1:2">
      <c r="A264" s="23" t="s">
        <v>2135</v>
      </c>
      <c r="B264" s="32">
        <v>327185.07</v>
      </c>
    </row>
    <row r="265" spans="1:2">
      <c r="A265" s="23" t="s">
        <v>1897</v>
      </c>
      <c r="B265" s="32">
        <v>380355.26</v>
      </c>
    </row>
    <row r="266" spans="1:2">
      <c r="A266" s="23" t="s">
        <v>1761</v>
      </c>
      <c r="B266" s="32">
        <v>426928</v>
      </c>
    </row>
    <row r="267" spans="1:2">
      <c r="A267" s="23" t="s">
        <v>1939</v>
      </c>
      <c r="B267" s="32">
        <v>530870.75</v>
      </c>
    </row>
    <row r="268" spans="1:2">
      <c r="A268" s="23" t="s">
        <v>21</v>
      </c>
      <c r="B268" s="32">
        <v>1358272.46</v>
      </c>
    </row>
    <row r="269" spans="1:2">
      <c r="A269" s="23" t="s">
        <v>444</v>
      </c>
      <c r="B269" s="32">
        <v>310619.75</v>
      </c>
    </row>
    <row r="270" spans="1:2">
      <c r="A270" s="23" t="s">
        <v>1157</v>
      </c>
      <c r="B270" s="32">
        <v>388557.42</v>
      </c>
    </row>
    <row r="271" spans="1:2">
      <c r="A271" s="23" t="s">
        <v>1009</v>
      </c>
      <c r="B271" s="32">
        <v>171708.14</v>
      </c>
    </row>
    <row r="272" spans="1:2">
      <c r="A272" s="23" t="s">
        <v>2711</v>
      </c>
      <c r="B272" s="32">
        <v>93055.86</v>
      </c>
    </row>
    <row r="273" spans="1:2">
      <c r="A273" s="23" t="s">
        <v>99</v>
      </c>
      <c r="B273" s="32">
        <v>49403.839999999997</v>
      </c>
    </row>
    <row r="274" spans="1:2">
      <c r="A274" s="23" t="s">
        <v>179</v>
      </c>
      <c r="B274" s="32">
        <v>273383.06</v>
      </c>
    </row>
    <row r="275" spans="1:2">
      <c r="A275" s="23" t="s">
        <v>300</v>
      </c>
      <c r="B275" s="32">
        <v>608133.06999999995</v>
      </c>
    </row>
    <row r="276" spans="1:2">
      <c r="A276" s="23" t="s">
        <v>156</v>
      </c>
      <c r="B276" s="32">
        <v>665309.27999999991</v>
      </c>
    </row>
    <row r="277" spans="1:2">
      <c r="A277" s="23" t="s">
        <v>1013</v>
      </c>
      <c r="B277" s="32">
        <v>637941.75</v>
      </c>
    </row>
    <row r="278" spans="1:2">
      <c r="A278" s="23" t="s">
        <v>350</v>
      </c>
      <c r="B278" s="32">
        <v>833404.28</v>
      </c>
    </row>
    <row r="279" spans="1:2">
      <c r="A279" s="23" t="s">
        <v>219</v>
      </c>
      <c r="B279" s="32">
        <v>334929.09999999998</v>
      </c>
    </row>
    <row r="280" spans="1:2">
      <c r="A280" s="23" t="s">
        <v>430</v>
      </c>
      <c r="B280" s="32">
        <v>693585.16</v>
      </c>
    </row>
    <row r="281" spans="1:2">
      <c r="A281" s="23" t="s">
        <v>936</v>
      </c>
      <c r="B281" s="32">
        <v>601138.86</v>
      </c>
    </row>
    <row r="282" spans="1:2">
      <c r="A282" s="23" t="s">
        <v>372</v>
      </c>
      <c r="B282" s="32">
        <v>681953.05</v>
      </c>
    </row>
    <row r="283" spans="1:2">
      <c r="A283" s="23" t="s">
        <v>686</v>
      </c>
      <c r="B283" s="32">
        <v>614915.01</v>
      </c>
    </row>
    <row r="284" spans="1:2">
      <c r="A284" s="23" t="s">
        <v>840</v>
      </c>
      <c r="B284" s="32">
        <v>689978.58000000007</v>
      </c>
    </row>
    <row r="285" spans="1:2">
      <c r="A285" s="23" t="s">
        <v>410</v>
      </c>
      <c r="B285" s="32">
        <v>253269.24000000002</v>
      </c>
    </row>
    <row r="286" spans="1:2">
      <c r="A286" s="23" t="s">
        <v>2362</v>
      </c>
      <c r="B286" s="32">
        <v>34742.76</v>
      </c>
    </row>
    <row r="287" spans="1:2">
      <c r="A287" s="23" t="s">
        <v>623</v>
      </c>
      <c r="B287" s="32">
        <v>453859.70999999996</v>
      </c>
    </row>
    <row r="288" spans="1:2">
      <c r="A288" s="23" t="s">
        <v>2374</v>
      </c>
      <c r="B288" s="32">
        <v>585178.32000000007</v>
      </c>
    </row>
    <row r="289" spans="1:2">
      <c r="A289" s="23" t="s">
        <v>1612</v>
      </c>
      <c r="B289" s="32">
        <v>552792.46</v>
      </c>
    </row>
    <row r="290" spans="1:2">
      <c r="A290" s="23" t="s">
        <v>387</v>
      </c>
      <c r="B290" s="32">
        <v>1099718.31</v>
      </c>
    </row>
    <row r="291" spans="1:2">
      <c r="A291" s="23" t="s">
        <v>265</v>
      </c>
      <c r="B291" s="32">
        <v>361804.33</v>
      </c>
    </row>
    <row r="292" spans="1:2">
      <c r="A292" s="23" t="s">
        <v>788</v>
      </c>
      <c r="B292" s="32">
        <v>176781.2</v>
      </c>
    </row>
    <row r="293" spans="1:2">
      <c r="A293" s="23" t="s">
        <v>2600</v>
      </c>
      <c r="B293" s="32">
        <v>122431.8</v>
      </c>
    </row>
    <row r="294" spans="1:2">
      <c r="A294" s="23" t="s">
        <v>2069</v>
      </c>
      <c r="B294" s="32">
        <v>107745.36</v>
      </c>
    </row>
    <row r="295" spans="1:2">
      <c r="A295" s="23" t="s">
        <v>398</v>
      </c>
      <c r="B295" s="32">
        <v>578342.88</v>
      </c>
    </row>
    <row r="296" spans="1:2">
      <c r="A296" s="23" t="s">
        <v>2053</v>
      </c>
      <c r="B296" s="32">
        <v>359959.29000000004</v>
      </c>
    </row>
    <row r="297" spans="1:2">
      <c r="A297" s="23" t="s">
        <v>693</v>
      </c>
      <c r="B297" s="32">
        <v>232580.11000000002</v>
      </c>
    </row>
    <row r="298" spans="1:2">
      <c r="A298" s="23" t="s">
        <v>1563</v>
      </c>
      <c r="B298" s="32">
        <v>278427.28000000003</v>
      </c>
    </row>
    <row r="299" spans="1:2">
      <c r="A299" s="23" t="s">
        <v>246</v>
      </c>
      <c r="B299" s="32">
        <v>365739.9</v>
      </c>
    </row>
    <row r="300" spans="1:2">
      <c r="A300" s="23" t="s">
        <v>1696</v>
      </c>
      <c r="B300" s="32">
        <v>240883.83</v>
      </c>
    </row>
    <row r="301" spans="1:2">
      <c r="A301" s="23" t="s">
        <v>1046</v>
      </c>
      <c r="B301" s="32">
        <v>276698.28000000003</v>
      </c>
    </row>
    <row r="302" spans="1:2">
      <c r="A302" s="23" t="s">
        <v>732</v>
      </c>
      <c r="B302" s="32">
        <v>1200241.17</v>
      </c>
    </row>
    <row r="303" spans="1:2">
      <c r="A303" s="23" t="s">
        <v>39</v>
      </c>
      <c r="B303" s="32">
        <v>360108.6</v>
      </c>
    </row>
    <row r="304" spans="1:2">
      <c r="A304" s="23" t="s">
        <v>57</v>
      </c>
      <c r="B304" s="32">
        <v>273132.90000000002</v>
      </c>
    </row>
    <row r="305" spans="1:2">
      <c r="A305" s="23" t="s">
        <v>1317</v>
      </c>
      <c r="B305" s="32">
        <v>499943.76999999996</v>
      </c>
    </row>
    <row r="306" spans="1:2">
      <c r="A306" s="23" t="s">
        <v>121</v>
      </c>
      <c r="B306" s="32">
        <v>384118.26999999996</v>
      </c>
    </row>
    <row r="307" spans="1:2">
      <c r="A307" s="23" t="s">
        <v>1294</v>
      </c>
      <c r="B307" s="32">
        <v>349767.9</v>
      </c>
    </row>
    <row r="308" spans="1:2">
      <c r="A308" s="23" t="s">
        <v>2470</v>
      </c>
      <c r="B308" s="32">
        <v>237573.1</v>
      </c>
    </row>
    <row r="309" spans="1:2">
      <c r="A309" s="23" t="s">
        <v>949</v>
      </c>
      <c r="B309" s="32">
        <v>485538.24</v>
      </c>
    </row>
    <row r="310" spans="1:2">
      <c r="A310" s="23" t="s">
        <v>537</v>
      </c>
      <c r="B310" s="32">
        <v>546961.67000000004</v>
      </c>
    </row>
    <row r="311" spans="1:2">
      <c r="A311" s="23" t="s">
        <v>2130</v>
      </c>
      <c r="B311" s="32">
        <v>444016.4</v>
      </c>
    </row>
    <row r="312" spans="1:2">
      <c r="A312" s="23" t="s">
        <v>514</v>
      </c>
      <c r="B312" s="32">
        <v>467239.58999999997</v>
      </c>
    </row>
    <row r="313" spans="1:2">
      <c r="A313" s="23" t="s">
        <v>95</v>
      </c>
      <c r="B313" s="32">
        <v>608044.97</v>
      </c>
    </row>
    <row r="314" spans="1:2">
      <c r="A314" s="23" t="s">
        <v>1977</v>
      </c>
      <c r="B314" s="32">
        <v>435849.98</v>
      </c>
    </row>
    <row r="315" spans="1:2">
      <c r="A315" s="23" t="s">
        <v>32</v>
      </c>
      <c r="B315" s="32">
        <v>256872.24</v>
      </c>
    </row>
    <row r="316" spans="1:2">
      <c r="A316" s="23" t="s">
        <v>1370</v>
      </c>
      <c r="B316" s="32">
        <v>200981.7</v>
      </c>
    </row>
    <row r="317" spans="1:2">
      <c r="A317" s="23" t="s">
        <v>160</v>
      </c>
      <c r="B317" s="32">
        <v>955404.98</v>
      </c>
    </row>
    <row r="318" spans="1:2">
      <c r="A318" s="23" t="s">
        <v>53</v>
      </c>
      <c r="B318" s="32">
        <v>144840.29</v>
      </c>
    </row>
    <row r="319" spans="1:2">
      <c r="A319" s="23" t="s">
        <v>561</v>
      </c>
      <c r="B319" s="32">
        <v>542450.07999999996</v>
      </c>
    </row>
    <row r="320" spans="1:2">
      <c r="A320" s="23" t="s">
        <v>250</v>
      </c>
      <c r="B320" s="32">
        <v>485948.19</v>
      </c>
    </row>
    <row r="321" spans="1:2">
      <c r="A321" s="23" t="s">
        <v>1529</v>
      </c>
      <c r="B321" s="32">
        <v>313418.15000000002</v>
      </c>
    </row>
    <row r="322" spans="1:2">
      <c r="A322" s="23" t="s">
        <v>1737</v>
      </c>
      <c r="B322" s="32">
        <v>981351.10000000009</v>
      </c>
    </row>
    <row r="323" spans="1:2">
      <c r="A323" s="23" t="s">
        <v>1715</v>
      </c>
      <c r="B323" s="32">
        <v>178731.57</v>
      </c>
    </row>
    <row r="324" spans="1:2">
      <c r="A324" s="23" t="s">
        <v>2267</v>
      </c>
      <c r="B324" s="32">
        <v>339751.37</v>
      </c>
    </row>
    <row r="325" spans="1:2">
      <c r="A325" s="23" t="s">
        <v>257</v>
      </c>
      <c r="B325" s="32">
        <v>855766.06</v>
      </c>
    </row>
    <row r="326" spans="1:2">
      <c r="A326" s="23" t="s">
        <v>1439</v>
      </c>
      <c r="B326" s="32">
        <v>310658.52</v>
      </c>
    </row>
    <row r="327" spans="1:2">
      <c r="A327" s="23" t="s">
        <v>1683</v>
      </c>
      <c r="B327" s="32">
        <v>330592.38</v>
      </c>
    </row>
    <row r="328" spans="1:2">
      <c r="A328" s="23" t="s">
        <v>376</v>
      </c>
      <c r="B328" s="32">
        <v>992394.38</v>
      </c>
    </row>
    <row r="329" spans="1:2">
      <c r="A329" s="23" t="s">
        <v>760</v>
      </c>
      <c r="B329" s="32">
        <v>366762.14999999997</v>
      </c>
    </row>
    <row r="330" spans="1:2">
      <c r="A330" s="23" t="s">
        <v>365</v>
      </c>
      <c r="B330" s="32">
        <v>336551.43999999994</v>
      </c>
    </row>
    <row r="331" spans="1:2">
      <c r="A331" s="23" t="s">
        <v>1181</v>
      </c>
      <c r="B331" s="32">
        <v>167292.37</v>
      </c>
    </row>
    <row r="332" spans="1:2">
      <c r="A332" s="23" t="s">
        <v>417</v>
      </c>
      <c r="B332" s="32">
        <v>431527.97000000003</v>
      </c>
    </row>
    <row r="333" spans="1:2">
      <c r="A333" s="23" t="s">
        <v>901</v>
      </c>
      <c r="B333" s="32">
        <v>219823.88999999998</v>
      </c>
    </row>
    <row r="334" spans="1:2">
      <c r="A334" s="23" t="s">
        <v>1874</v>
      </c>
      <c r="B334" s="32">
        <v>148956.46000000002</v>
      </c>
    </row>
    <row r="335" spans="1:2">
      <c r="A335" s="23" t="s">
        <v>483</v>
      </c>
      <c r="B335" s="32">
        <v>336839.4</v>
      </c>
    </row>
    <row r="336" spans="1:2">
      <c r="A336" s="23" t="s">
        <v>750</v>
      </c>
      <c r="B336" s="32">
        <v>573354.91</v>
      </c>
    </row>
    <row r="337" spans="1:2">
      <c r="A337" s="23" t="s">
        <v>379</v>
      </c>
      <c r="B337" s="32">
        <v>8872.0300000000007</v>
      </c>
    </row>
    <row r="338" spans="1:2">
      <c r="A338" s="23" t="s">
        <v>1560</v>
      </c>
      <c r="B338" s="32">
        <v>720339.08000000007</v>
      </c>
    </row>
    <row r="339" spans="1:2">
      <c r="A339" s="23" t="s">
        <v>965</v>
      </c>
      <c r="B339" s="32">
        <v>182445.41999999998</v>
      </c>
    </row>
    <row r="340" spans="1:2">
      <c r="A340" s="23" t="s">
        <v>323</v>
      </c>
      <c r="B340" s="32">
        <v>368373.65</v>
      </c>
    </row>
    <row r="341" spans="1:2">
      <c r="A341" s="23" t="s">
        <v>998</v>
      </c>
      <c r="B341" s="32">
        <v>256767.72</v>
      </c>
    </row>
    <row r="342" spans="1:2">
      <c r="A342" s="23" t="s">
        <v>1756</v>
      </c>
      <c r="B342" s="32">
        <v>270452.40000000002</v>
      </c>
    </row>
    <row r="343" spans="1:2">
      <c r="A343" s="23" t="s">
        <v>319</v>
      </c>
      <c r="B343" s="32">
        <v>62518.32</v>
      </c>
    </row>
    <row r="344" spans="1:2">
      <c r="A344" s="23" t="s">
        <v>43</v>
      </c>
      <c r="B344" s="32">
        <v>524016.24</v>
      </c>
    </row>
    <row r="345" spans="1:2">
      <c r="A345" s="23" t="s">
        <v>331</v>
      </c>
      <c r="B345" s="32">
        <v>809389.99</v>
      </c>
    </row>
    <row r="346" spans="1:2">
      <c r="A346" s="23" t="s">
        <v>2821</v>
      </c>
      <c r="B346" s="32">
        <v>139399439.65000001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7C00-73B9-4719-9434-587C323A9C6F}">
  <dimension ref="A1:Q1001"/>
  <sheetViews>
    <sheetView workbookViewId="0">
      <selection activeCell="L1" activeCellId="1" sqref="E1:E1048576 L1:L1048576"/>
    </sheetView>
  </sheetViews>
  <sheetFormatPr defaultRowHeight="15"/>
  <cols>
    <col min="1" max="1" width="12.140625" customWidth="1"/>
    <col min="2" max="2" width="17.42578125" customWidth="1"/>
    <col min="3" max="3" width="15.5703125" customWidth="1"/>
    <col min="4" max="4" width="15.28515625" customWidth="1"/>
    <col min="7" max="7" width="15.5703125" customWidth="1"/>
    <col min="9" max="10" width="13.85546875" customWidth="1"/>
    <col min="11" max="12" width="14.28515625" customWidth="1"/>
    <col min="14" max="14" width="10.42578125" style="3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2800</v>
      </c>
      <c r="L1" t="s">
        <v>2825</v>
      </c>
    </row>
    <row r="2" spans="1:1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N2" s="31">
        <f>DATEVALUE(LEFT(B2,10))</f>
        <v>45713</v>
      </c>
      <c r="O2" t="b">
        <f>ISNUMBER(N2)</f>
        <v>1</v>
      </c>
    </row>
    <row r="3" spans="1:1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  <c r="N3" s="31">
        <f t="shared" ref="N3:N66" si="0">DATEVALUE(LEFT(B3,10))</f>
        <v>45944</v>
      </c>
      <c r="O3" t="b">
        <f t="shared" ref="O3:O66" si="1">ISNUMBER(N3)</f>
        <v>1</v>
      </c>
    </row>
    <row r="4" spans="1:1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  <c r="N4" s="31">
        <f t="shared" si="0"/>
        <v>45790</v>
      </c>
      <c r="O4" t="b">
        <f t="shared" si="1"/>
        <v>1</v>
      </c>
    </row>
    <row r="5" spans="1:1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  <c r="N5" s="31">
        <f t="shared" si="0"/>
        <v>45993</v>
      </c>
      <c r="O5" t="b">
        <f t="shared" si="1"/>
        <v>1</v>
      </c>
    </row>
    <row r="6" spans="1:1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  <c r="N6" s="31">
        <f t="shared" si="0"/>
        <v>45981</v>
      </c>
      <c r="O6" t="b">
        <f t="shared" si="1"/>
        <v>1</v>
      </c>
    </row>
    <row r="7" spans="1:1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  <c r="N7" s="31">
        <f t="shared" si="0"/>
        <v>46022</v>
      </c>
      <c r="O7" t="b">
        <f t="shared" si="1"/>
        <v>1</v>
      </c>
    </row>
    <row r="8" spans="1:1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  <c r="N8" s="31">
        <f t="shared" si="0"/>
        <v>45944</v>
      </c>
      <c r="O8" t="b">
        <f t="shared" si="1"/>
        <v>1</v>
      </c>
    </row>
    <row r="9" spans="1:1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  <c r="N9" s="31">
        <f t="shared" si="0"/>
        <v>45996</v>
      </c>
      <c r="O9" t="b">
        <f t="shared" si="1"/>
        <v>1</v>
      </c>
    </row>
    <row r="10" spans="1:1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  <c r="N10" s="31">
        <f t="shared" si="0"/>
        <v>45982</v>
      </c>
      <c r="O10" t="b">
        <f t="shared" si="1"/>
        <v>1</v>
      </c>
    </row>
    <row r="11" spans="1:1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  <c r="N11" s="31">
        <f t="shared" si="0"/>
        <v>45763</v>
      </c>
      <c r="O11" t="b">
        <f t="shared" si="1"/>
        <v>1</v>
      </c>
    </row>
    <row r="12" spans="1:1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  <c r="N12" s="31">
        <f t="shared" si="0"/>
        <v>45782</v>
      </c>
      <c r="O12" t="b">
        <f t="shared" si="1"/>
        <v>1</v>
      </c>
    </row>
    <row r="13" spans="1:1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  <c r="N13" s="31">
        <f t="shared" si="0"/>
        <v>45779</v>
      </c>
      <c r="O13" t="b">
        <f t="shared" si="1"/>
        <v>1</v>
      </c>
    </row>
    <row r="14" spans="1:1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  <c r="N14" s="31">
        <f t="shared" si="0"/>
        <v>45783</v>
      </c>
      <c r="O14" t="b">
        <f t="shared" si="1"/>
        <v>1</v>
      </c>
    </row>
    <row r="15" spans="1:1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  <c r="N15" s="31">
        <f t="shared" si="0"/>
        <v>45771</v>
      </c>
      <c r="O15" t="b">
        <f t="shared" si="1"/>
        <v>1</v>
      </c>
    </row>
    <row r="16" spans="1:1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  <c r="N16" s="31">
        <f t="shared" si="0"/>
        <v>45728</v>
      </c>
      <c r="O16" t="b">
        <f t="shared" si="1"/>
        <v>1</v>
      </c>
    </row>
    <row r="17" spans="1:17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  <c r="N17" s="31">
        <f t="shared" si="0"/>
        <v>45899</v>
      </c>
      <c r="O17" t="b">
        <f t="shared" si="1"/>
        <v>1</v>
      </c>
    </row>
    <row r="18" spans="1:17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  <c r="N18" s="31">
        <f t="shared" si="0"/>
        <v>45991</v>
      </c>
      <c r="O18" t="b">
        <f t="shared" si="1"/>
        <v>1</v>
      </c>
    </row>
    <row r="19" spans="1:17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  <c r="N19" s="31">
        <f t="shared" si="0"/>
        <v>45949</v>
      </c>
      <c r="O19" t="b">
        <f t="shared" si="1"/>
        <v>1</v>
      </c>
    </row>
    <row r="20" spans="1:17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  <c r="N20" s="31">
        <f t="shared" si="0"/>
        <v>45862</v>
      </c>
      <c r="O20" t="b">
        <f t="shared" si="1"/>
        <v>1</v>
      </c>
    </row>
    <row r="21" spans="1:17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  <c r="N21" s="31">
        <f t="shared" si="0"/>
        <v>45736</v>
      </c>
      <c r="O21" t="b">
        <f t="shared" si="1"/>
        <v>1</v>
      </c>
    </row>
    <row r="22" spans="1:17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  <c r="N22" s="31">
        <f t="shared" si="0"/>
        <v>45734</v>
      </c>
      <c r="O22" t="b">
        <f t="shared" si="1"/>
        <v>1</v>
      </c>
    </row>
    <row r="23" spans="1:17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  <c r="N23" s="31">
        <f t="shared" si="0"/>
        <v>45934</v>
      </c>
      <c r="O23" t="b">
        <f t="shared" si="1"/>
        <v>1</v>
      </c>
    </row>
    <row r="24" spans="1:17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  <c r="N24" s="31">
        <f t="shared" si="0"/>
        <v>45984</v>
      </c>
      <c r="O24" t="b">
        <f t="shared" si="1"/>
        <v>1</v>
      </c>
    </row>
    <row r="25" spans="1:17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  <c r="N25" s="31">
        <f t="shared" si="0"/>
        <v>45914</v>
      </c>
      <c r="O25" t="b">
        <f t="shared" si="1"/>
        <v>1</v>
      </c>
    </row>
    <row r="26" spans="1:17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  <c r="N26" s="31">
        <f t="shared" si="0"/>
        <v>45732</v>
      </c>
      <c r="O26" t="b">
        <f t="shared" si="1"/>
        <v>1</v>
      </c>
    </row>
    <row r="27" spans="1:17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  <c r="N27" s="31">
        <f t="shared" si="0"/>
        <v>45757</v>
      </c>
      <c r="O27" t="b">
        <f t="shared" si="1"/>
        <v>1</v>
      </c>
    </row>
    <row r="28" spans="1:17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  <c r="N28" s="31">
        <f t="shared" si="0"/>
        <v>45870</v>
      </c>
      <c r="O28" t="b">
        <f t="shared" si="1"/>
        <v>1</v>
      </c>
    </row>
    <row r="29" spans="1:17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  <c r="N29" s="31">
        <f t="shared" si="0"/>
        <v>45879</v>
      </c>
      <c r="O29" t="b">
        <f t="shared" si="1"/>
        <v>1</v>
      </c>
      <c r="Q29" t="s">
        <v>2822</v>
      </c>
    </row>
    <row r="30" spans="1:17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  <c r="N30" s="31">
        <f t="shared" si="0"/>
        <v>45693</v>
      </c>
      <c r="O30" t="b">
        <f t="shared" si="1"/>
        <v>1</v>
      </c>
    </row>
    <row r="31" spans="1:17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  <c r="N31" s="31">
        <f t="shared" si="0"/>
        <v>45878</v>
      </c>
      <c r="O31" t="b">
        <f t="shared" si="1"/>
        <v>1</v>
      </c>
    </row>
    <row r="32" spans="1:17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  <c r="N32" s="31">
        <f t="shared" si="0"/>
        <v>45790</v>
      </c>
      <c r="O32" t="b">
        <f t="shared" si="1"/>
        <v>1</v>
      </c>
    </row>
    <row r="33" spans="1:1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  <c r="N33" s="31">
        <f t="shared" si="0"/>
        <v>45952</v>
      </c>
      <c r="O33" t="b">
        <f t="shared" si="1"/>
        <v>1</v>
      </c>
    </row>
    <row r="34" spans="1:1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  <c r="N34" s="31">
        <f t="shared" si="0"/>
        <v>45995</v>
      </c>
      <c r="O34" t="b">
        <f t="shared" si="1"/>
        <v>1</v>
      </c>
    </row>
    <row r="35" spans="1:1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  <c r="N35" s="31">
        <f t="shared" si="0"/>
        <v>45780</v>
      </c>
      <c r="O35" t="b">
        <f t="shared" si="1"/>
        <v>1</v>
      </c>
    </row>
    <row r="36" spans="1:1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  <c r="N36" s="31">
        <f t="shared" si="0"/>
        <v>45724</v>
      </c>
      <c r="O36" t="b">
        <f t="shared" si="1"/>
        <v>1</v>
      </c>
    </row>
    <row r="37" spans="1:1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  <c r="N37" s="31">
        <f t="shared" si="0"/>
        <v>45695</v>
      </c>
      <c r="O37" t="b">
        <f t="shared" si="1"/>
        <v>1</v>
      </c>
    </row>
    <row r="38" spans="1:1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  <c r="N38" s="31">
        <f t="shared" si="0"/>
        <v>45708</v>
      </c>
      <c r="O38" t="b">
        <f t="shared" si="1"/>
        <v>1</v>
      </c>
    </row>
    <row r="39" spans="1:1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  <c r="N39" s="31">
        <f t="shared" si="0"/>
        <v>45950</v>
      </c>
      <c r="O39" t="b">
        <f t="shared" si="1"/>
        <v>1</v>
      </c>
    </row>
    <row r="40" spans="1:1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  <c r="N40" s="31">
        <f t="shared" si="0"/>
        <v>45723</v>
      </c>
      <c r="O40" t="b">
        <f t="shared" si="1"/>
        <v>1</v>
      </c>
    </row>
    <row r="41" spans="1:1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  <c r="N41" s="31">
        <f t="shared" si="0"/>
        <v>45768</v>
      </c>
      <c r="O41" t="b">
        <f t="shared" si="1"/>
        <v>1</v>
      </c>
    </row>
    <row r="42" spans="1:1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  <c r="N42" s="31">
        <f t="shared" si="0"/>
        <v>45808</v>
      </c>
      <c r="O42" t="b">
        <f t="shared" si="1"/>
        <v>1</v>
      </c>
    </row>
    <row r="43" spans="1:1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  <c r="N43" s="31">
        <f t="shared" si="0"/>
        <v>45767</v>
      </c>
      <c r="O43" t="b">
        <f t="shared" si="1"/>
        <v>1</v>
      </c>
    </row>
    <row r="44" spans="1:1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  <c r="N44" s="31">
        <f t="shared" si="0"/>
        <v>45922</v>
      </c>
      <c r="O44" t="b">
        <f t="shared" si="1"/>
        <v>1</v>
      </c>
    </row>
    <row r="45" spans="1:1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  <c r="N45" s="31">
        <f t="shared" si="0"/>
        <v>45842</v>
      </c>
      <c r="O45" t="b">
        <f t="shared" si="1"/>
        <v>1</v>
      </c>
    </row>
    <row r="46" spans="1:1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  <c r="N46" s="31">
        <f t="shared" si="0"/>
        <v>45773</v>
      </c>
      <c r="O46" t="b">
        <f t="shared" si="1"/>
        <v>1</v>
      </c>
    </row>
    <row r="47" spans="1:1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  <c r="N47" s="31">
        <f t="shared" si="0"/>
        <v>45788</v>
      </c>
      <c r="O47" t="b">
        <f t="shared" si="1"/>
        <v>1</v>
      </c>
    </row>
    <row r="48" spans="1:1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  <c r="N48" s="31">
        <f t="shared" si="0"/>
        <v>45902</v>
      </c>
      <c r="O48" t="b">
        <f t="shared" si="1"/>
        <v>1</v>
      </c>
    </row>
    <row r="49" spans="1:1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  <c r="N49" s="31">
        <f t="shared" si="0"/>
        <v>45955</v>
      </c>
      <c r="O49" t="b">
        <f t="shared" si="1"/>
        <v>1</v>
      </c>
    </row>
    <row r="50" spans="1:1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  <c r="N50" s="31">
        <f t="shared" si="0"/>
        <v>45933</v>
      </c>
      <c r="O50" t="b">
        <f t="shared" si="1"/>
        <v>1</v>
      </c>
    </row>
    <row r="51" spans="1:1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  <c r="N51" s="31">
        <f t="shared" si="0"/>
        <v>45715</v>
      </c>
      <c r="O51" t="b">
        <f t="shared" si="1"/>
        <v>1</v>
      </c>
    </row>
    <row r="52" spans="1:1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  <c r="N52" s="31">
        <f t="shared" si="0"/>
        <v>45909</v>
      </c>
      <c r="O52" t="b">
        <f t="shared" si="1"/>
        <v>1</v>
      </c>
    </row>
    <row r="53" spans="1:1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  <c r="N53" s="31">
        <f t="shared" si="0"/>
        <v>45816</v>
      </c>
      <c r="O53" t="b">
        <f t="shared" si="1"/>
        <v>1</v>
      </c>
    </row>
    <row r="54" spans="1:1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  <c r="N54" s="31">
        <f t="shared" si="0"/>
        <v>45845</v>
      </c>
      <c r="O54" t="b">
        <f t="shared" si="1"/>
        <v>1</v>
      </c>
    </row>
    <row r="55" spans="1:1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  <c r="N55" s="31">
        <f t="shared" si="0"/>
        <v>45763</v>
      </c>
      <c r="O55" t="b">
        <f t="shared" si="1"/>
        <v>1</v>
      </c>
    </row>
    <row r="56" spans="1:1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  <c r="N56" s="31">
        <f t="shared" si="0"/>
        <v>45977</v>
      </c>
      <c r="O56" t="b">
        <f t="shared" si="1"/>
        <v>1</v>
      </c>
    </row>
    <row r="57" spans="1:1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  <c r="N57" s="31">
        <f t="shared" si="0"/>
        <v>45998</v>
      </c>
      <c r="O57" t="b">
        <f t="shared" si="1"/>
        <v>1</v>
      </c>
    </row>
    <row r="58" spans="1:1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  <c r="N58" s="31">
        <f t="shared" si="0"/>
        <v>45728</v>
      </c>
      <c r="O58" t="b">
        <f t="shared" si="1"/>
        <v>1</v>
      </c>
    </row>
    <row r="59" spans="1:1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  <c r="N59" s="31">
        <f t="shared" si="0"/>
        <v>46003</v>
      </c>
      <c r="O59" t="b">
        <f t="shared" si="1"/>
        <v>1</v>
      </c>
    </row>
    <row r="60" spans="1:1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  <c r="N60" s="31">
        <f t="shared" si="0"/>
        <v>45672</v>
      </c>
      <c r="O60" t="b">
        <f t="shared" si="1"/>
        <v>1</v>
      </c>
    </row>
    <row r="61" spans="1:1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  <c r="N61" s="31">
        <f t="shared" si="0"/>
        <v>45969</v>
      </c>
      <c r="O61" t="b">
        <f t="shared" si="1"/>
        <v>1</v>
      </c>
    </row>
    <row r="62" spans="1:1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  <c r="N62" s="31">
        <f t="shared" si="0"/>
        <v>45844</v>
      </c>
      <c r="O62" t="b">
        <f t="shared" si="1"/>
        <v>1</v>
      </c>
    </row>
    <row r="63" spans="1:1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  <c r="N63" s="31">
        <f t="shared" si="0"/>
        <v>45853</v>
      </c>
      <c r="O63" t="b">
        <f t="shared" si="1"/>
        <v>1</v>
      </c>
    </row>
    <row r="64" spans="1:1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  <c r="N64" s="31">
        <f t="shared" si="0"/>
        <v>45926</v>
      </c>
      <c r="O64" t="b">
        <f t="shared" si="1"/>
        <v>1</v>
      </c>
    </row>
    <row r="65" spans="1:1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  <c r="N65" s="31">
        <f t="shared" si="0"/>
        <v>45793</v>
      </c>
      <c r="O65" t="b">
        <f t="shared" si="1"/>
        <v>1</v>
      </c>
    </row>
    <row r="66" spans="1:1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  <c r="N66" s="31">
        <f t="shared" si="0"/>
        <v>45863</v>
      </c>
      <c r="O66" t="b">
        <f t="shared" si="1"/>
        <v>1</v>
      </c>
    </row>
    <row r="67" spans="1:1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  <c r="N67" s="31">
        <f t="shared" ref="N67:N130" si="2">DATEVALUE(LEFT(B67,10))</f>
        <v>45687</v>
      </c>
      <c r="O67" t="b">
        <f t="shared" ref="O67:O130" si="3">ISNUMBER(N67)</f>
        <v>1</v>
      </c>
    </row>
    <row r="68" spans="1:1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  <c r="N68" s="31">
        <f t="shared" si="2"/>
        <v>45713</v>
      </c>
      <c r="O68" t="b">
        <f t="shared" si="3"/>
        <v>1</v>
      </c>
    </row>
    <row r="69" spans="1:1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  <c r="N69" s="31">
        <f t="shared" si="2"/>
        <v>45832</v>
      </c>
      <c r="O69" t="b">
        <f t="shared" si="3"/>
        <v>1</v>
      </c>
    </row>
    <row r="70" spans="1:1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  <c r="N70" s="31">
        <f t="shared" si="2"/>
        <v>45884</v>
      </c>
      <c r="O70" t="b">
        <f t="shared" si="3"/>
        <v>1</v>
      </c>
    </row>
    <row r="71" spans="1:1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  <c r="N71" s="31">
        <f t="shared" si="2"/>
        <v>45951</v>
      </c>
      <c r="O71" t="b">
        <f t="shared" si="3"/>
        <v>1</v>
      </c>
    </row>
    <row r="72" spans="1:1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  <c r="N72" s="31">
        <f t="shared" si="2"/>
        <v>45894</v>
      </c>
      <c r="O72" t="b">
        <f t="shared" si="3"/>
        <v>1</v>
      </c>
    </row>
    <row r="73" spans="1:1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  <c r="N73" s="31">
        <f t="shared" si="2"/>
        <v>45827</v>
      </c>
      <c r="O73" t="b">
        <f t="shared" si="3"/>
        <v>1</v>
      </c>
    </row>
    <row r="74" spans="1:1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  <c r="N74" s="31">
        <f t="shared" si="2"/>
        <v>45995</v>
      </c>
      <c r="O74" t="b">
        <f t="shared" si="3"/>
        <v>1</v>
      </c>
    </row>
    <row r="75" spans="1:1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  <c r="N75" s="31">
        <f t="shared" si="2"/>
        <v>45746</v>
      </c>
      <c r="O75" t="b">
        <f t="shared" si="3"/>
        <v>1</v>
      </c>
    </row>
    <row r="76" spans="1:1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  <c r="N76" s="31">
        <f t="shared" si="2"/>
        <v>46021</v>
      </c>
      <c r="O76" t="b">
        <f t="shared" si="3"/>
        <v>1</v>
      </c>
    </row>
    <row r="77" spans="1:1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  <c r="N77" s="31">
        <f t="shared" si="2"/>
        <v>46018</v>
      </c>
      <c r="O77" t="b">
        <f t="shared" si="3"/>
        <v>1</v>
      </c>
    </row>
    <row r="78" spans="1:1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  <c r="N78" s="31">
        <f t="shared" si="2"/>
        <v>45761</v>
      </c>
      <c r="O78" t="b">
        <f t="shared" si="3"/>
        <v>1</v>
      </c>
    </row>
    <row r="79" spans="1:1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  <c r="N79" s="31">
        <f t="shared" si="2"/>
        <v>46023</v>
      </c>
      <c r="O79" t="b">
        <f t="shared" si="3"/>
        <v>1</v>
      </c>
    </row>
    <row r="80" spans="1:1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  <c r="N80" s="31">
        <f t="shared" si="2"/>
        <v>45890</v>
      </c>
      <c r="O80" t="b">
        <f t="shared" si="3"/>
        <v>1</v>
      </c>
    </row>
    <row r="81" spans="1:1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  <c r="N81" s="31">
        <f t="shared" si="2"/>
        <v>45721</v>
      </c>
      <c r="O81" t="b">
        <f t="shared" si="3"/>
        <v>1</v>
      </c>
    </row>
    <row r="82" spans="1:1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  <c r="N82" s="31">
        <f t="shared" si="2"/>
        <v>45901</v>
      </c>
      <c r="O82" t="b">
        <f t="shared" si="3"/>
        <v>1</v>
      </c>
    </row>
    <row r="83" spans="1:1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  <c r="N83" s="31">
        <f t="shared" si="2"/>
        <v>45663</v>
      </c>
      <c r="O83" t="b">
        <f t="shared" si="3"/>
        <v>1</v>
      </c>
    </row>
    <row r="84" spans="1:1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  <c r="N84" s="31">
        <f t="shared" si="2"/>
        <v>45954</v>
      </c>
      <c r="O84" t="b">
        <f t="shared" si="3"/>
        <v>1</v>
      </c>
    </row>
    <row r="85" spans="1:1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  <c r="N85" s="31">
        <f t="shared" si="2"/>
        <v>45723</v>
      </c>
      <c r="O85" t="b">
        <f t="shared" si="3"/>
        <v>1</v>
      </c>
    </row>
    <row r="86" spans="1:1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  <c r="N86" s="31">
        <f t="shared" si="2"/>
        <v>45893</v>
      </c>
      <c r="O86" t="b">
        <f t="shared" si="3"/>
        <v>1</v>
      </c>
    </row>
    <row r="87" spans="1:1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  <c r="N87" s="31">
        <f t="shared" si="2"/>
        <v>45733</v>
      </c>
      <c r="O87" t="b">
        <f t="shared" si="3"/>
        <v>1</v>
      </c>
    </row>
    <row r="88" spans="1:1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  <c r="N88" s="31">
        <f t="shared" si="2"/>
        <v>46008</v>
      </c>
      <c r="O88" t="b">
        <f t="shared" si="3"/>
        <v>1</v>
      </c>
    </row>
    <row r="89" spans="1:1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  <c r="N89" s="31">
        <f t="shared" si="2"/>
        <v>45763</v>
      </c>
      <c r="O89" t="b">
        <f t="shared" si="3"/>
        <v>1</v>
      </c>
    </row>
    <row r="90" spans="1:1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  <c r="N90" s="31">
        <f t="shared" si="2"/>
        <v>45959</v>
      </c>
      <c r="O90" t="b">
        <f t="shared" si="3"/>
        <v>1</v>
      </c>
    </row>
    <row r="91" spans="1:1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  <c r="N91" s="31">
        <f t="shared" si="2"/>
        <v>46006</v>
      </c>
      <c r="O91" t="b">
        <f t="shared" si="3"/>
        <v>1</v>
      </c>
    </row>
    <row r="92" spans="1:1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  <c r="N92" s="31">
        <f t="shared" si="2"/>
        <v>46015</v>
      </c>
      <c r="O92" t="b">
        <f t="shared" si="3"/>
        <v>1</v>
      </c>
    </row>
    <row r="93" spans="1:1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  <c r="N93" s="31">
        <f t="shared" si="2"/>
        <v>45775</v>
      </c>
      <c r="O93" t="b">
        <f t="shared" si="3"/>
        <v>1</v>
      </c>
    </row>
    <row r="94" spans="1:1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  <c r="N94" s="31">
        <f t="shared" si="2"/>
        <v>45968</v>
      </c>
      <c r="O94" t="b">
        <f t="shared" si="3"/>
        <v>1</v>
      </c>
    </row>
    <row r="95" spans="1:1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  <c r="N95" s="31">
        <f t="shared" si="2"/>
        <v>45707</v>
      </c>
      <c r="O95" t="b">
        <f t="shared" si="3"/>
        <v>1</v>
      </c>
    </row>
    <row r="96" spans="1:1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  <c r="N96" s="31">
        <f t="shared" si="2"/>
        <v>45808</v>
      </c>
      <c r="O96" t="b">
        <f t="shared" si="3"/>
        <v>1</v>
      </c>
    </row>
    <row r="97" spans="1:1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  <c r="N97" s="31">
        <f t="shared" si="2"/>
        <v>45973</v>
      </c>
      <c r="O97" t="b">
        <f t="shared" si="3"/>
        <v>1</v>
      </c>
    </row>
    <row r="98" spans="1:1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  <c r="N98" s="31">
        <f t="shared" si="2"/>
        <v>45679</v>
      </c>
      <c r="O98" t="b">
        <f t="shared" si="3"/>
        <v>1</v>
      </c>
    </row>
    <row r="99" spans="1:1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  <c r="N99" s="31">
        <f t="shared" si="2"/>
        <v>45701</v>
      </c>
      <c r="O99" t="b">
        <f t="shared" si="3"/>
        <v>1</v>
      </c>
    </row>
    <row r="100" spans="1:1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  <c r="N100" s="31">
        <f t="shared" si="2"/>
        <v>45963</v>
      </c>
      <c r="O100" t="b">
        <f t="shared" si="3"/>
        <v>1</v>
      </c>
    </row>
    <row r="101" spans="1:1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  <c r="N101" s="31">
        <f t="shared" si="2"/>
        <v>45935</v>
      </c>
      <c r="O101" t="b">
        <f t="shared" si="3"/>
        <v>1</v>
      </c>
    </row>
    <row r="102" spans="1:1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  <c r="N102" s="31">
        <f t="shared" si="2"/>
        <v>46010</v>
      </c>
      <c r="O102" t="b">
        <f t="shared" si="3"/>
        <v>1</v>
      </c>
    </row>
    <row r="103" spans="1:1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  <c r="N103" s="31">
        <f t="shared" si="2"/>
        <v>45671</v>
      </c>
      <c r="O103" t="b">
        <f t="shared" si="3"/>
        <v>1</v>
      </c>
    </row>
    <row r="104" spans="1:1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  <c r="N104" s="31">
        <f t="shared" si="2"/>
        <v>46003</v>
      </c>
      <c r="O104" t="b">
        <f t="shared" si="3"/>
        <v>1</v>
      </c>
    </row>
    <row r="105" spans="1:1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  <c r="N105" s="31">
        <f t="shared" si="2"/>
        <v>45984</v>
      </c>
      <c r="O105" t="b">
        <f t="shared" si="3"/>
        <v>1</v>
      </c>
    </row>
    <row r="106" spans="1:1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  <c r="N106" s="31">
        <f t="shared" si="2"/>
        <v>45956</v>
      </c>
      <c r="O106" t="b">
        <f t="shared" si="3"/>
        <v>1</v>
      </c>
    </row>
    <row r="107" spans="1:1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  <c r="N107" s="31">
        <f t="shared" si="2"/>
        <v>45878</v>
      </c>
      <c r="O107" t="b">
        <f t="shared" si="3"/>
        <v>1</v>
      </c>
    </row>
    <row r="108" spans="1:1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  <c r="N108" s="31">
        <f t="shared" si="2"/>
        <v>45736</v>
      </c>
      <c r="O108" t="b">
        <f t="shared" si="3"/>
        <v>1</v>
      </c>
    </row>
    <row r="109" spans="1:1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  <c r="N109" s="31">
        <f t="shared" si="2"/>
        <v>45918</v>
      </c>
      <c r="O109" t="b">
        <f t="shared" si="3"/>
        <v>1</v>
      </c>
    </row>
    <row r="110" spans="1:1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  <c r="N110" s="31">
        <f t="shared" si="2"/>
        <v>45945</v>
      </c>
      <c r="O110" t="b">
        <f t="shared" si="3"/>
        <v>1</v>
      </c>
    </row>
    <row r="111" spans="1:1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  <c r="N111" s="31">
        <f t="shared" si="2"/>
        <v>45904</v>
      </c>
      <c r="O111" t="b">
        <f t="shared" si="3"/>
        <v>1</v>
      </c>
    </row>
    <row r="112" spans="1:1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  <c r="N112" s="31">
        <f t="shared" si="2"/>
        <v>45717</v>
      </c>
      <c r="O112" t="b">
        <f t="shared" si="3"/>
        <v>1</v>
      </c>
    </row>
    <row r="113" spans="1:1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  <c r="N113" s="31">
        <f t="shared" si="2"/>
        <v>45674</v>
      </c>
      <c r="O113" t="b">
        <f t="shared" si="3"/>
        <v>1</v>
      </c>
    </row>
    <row r="114" spans="1:1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  <c r="N114" s="31">
        <f t="shared" si="2"/>
        <v>45849</v>
      </c>
      <c r="O114" t="b">
        <f t="shared" si="3"/>
        <v>1</v>
      </c>
    </row>
    <row r="115" spans="1:1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  <c r="N115" s="31">
        <f t="shared" si="2"/>
        <v>45909</v>
      </c>
      <c r="O115" t="b">
        <f t="shared" si="3"/>
        <v>1</v>
      </c>
    </row>
    <row r="116" spans="1:1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  <c r="N116" s="31">
        <f t="shared" si="2"/>
        <v>45701</v>
      </c>
      <c r="O116" t="b">
        <f t="shared" si="3"/>
        <v>1</v>
      </c>
    </row>
    <row r="117" spans="1:1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  <c r="N117" s="31">
        <f t="shared" si="2"/>
        <v>45743</v>
      </c>
      <c r="O117" t="b">
        <f t="shared" si="3"/>
        <v>1</v>
      </c>
    </row>
    <row r="118" spans="1:1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  <c r="N118" s="31">
        <f t="shared" si="2"/>
        <v>45918</v>
      </c>
      <c r="O118" t="b">
        <f t="shared" si="3"/>
        <v>1</v>
      </c>
    </row>
    <row r="119" spans="1:1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  <c r="N119" s="31">
        <f t="shared" si="2"/>
        <v>45757</v>
      </c>
      <c r="O119" t="b">
        <f t="shared" si="3"/>
        <v>1</v>
      </c>
    </row>
    <row r="120" spans="1:1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  <c r="N120" s="31">
        <f t="shared" si="2"/>
        <v>45679</v>
      </c>
      <c r="O120" t="b">
        <f t="shared" si="3"/>
        <v>1</v>
      </c>
    </row>
    <row r="121" spans="1:1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  <c r="N121" s="31">
        <f t="shared" si="2"/>
        <v>45796</v>
      </c>
      <c r="O121" t="b">
        <f t="shared" si="3"/>
        <v>1</v>
      </c>
    </row>
    <row r="122" spans="1:1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  <c r="N122" s="31">
        <f t="shared" si="2"/>
        <v>46013</v>
      </c>
      <c r="O122" t="b">
        <f t="shared" si="3"/>
        <v>1</v>
      </c>
    </row>
    <row r="123" spans="1:1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  <c r="N123" s="31">
        <f t="shared" si="2"/>
        <v>45981</v>
      </c>
      <c r="O123" t="b">
        <f t="shared" si="3"/>
        <v>1</v>
      </c>
    </row>
    <row r="124" spans="1:1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  <c r="N124" s="31">
        <f t="shared" si="2"/>
        <v>45846</v>
      </c>
      <c r="O124" t="b">
        <f t="shared" si="3"/>
        <v>1</v>
      </c>
    </row>
    <row r="125" spans="1:1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  <c r="N125" s="31">
        <f t="shared" si="2"/>
        <v>45671</v>
      </c>
      <c r="O125" t="b">
        <f t="shared" si="3"/>
        <v>1</v>
      </c>
    </row>
    <row r="126" spans="1:1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  <c r="N126" s="31">
        <f t="shared" si="2"/>
        <v>45821</v>
      </c>
      <c r="O126" t="b">
        <f t="shared" si="3"/>
        <v>1</v>
      </c>
    </row>
    <row r="127" spans="1:1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  <c r="N127" s="31">
        <f t="shared" si="2"/>
        <v>45671</v>
      </c>
      <c r="O127" t="b">
        <f t="shared" si="3"/>
        <v>1</v>
      </c>
    </row>
    <row r="128" spans="1:1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  <c r="N128" s="31">
        <f t="shared" si="2"/>
        <v>45995</v>
      </c>
      <c r="O128" t="b">
        <f t="shared" si="3"/>
        <v>1</v>
      </c>
    </row>
    <row r="129" spans="1:1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  <c r="N129" s="31">
        <f t="shared" si="2"/>
        <v>45720</v>
      </c>
      <c r="O129" t="b">
        <f t="shared" si="3"/>
        <v>1</v>
      </c>
    </row>
    <row r="130" spans="1:1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  <c r="N130" s="31">
        <f t="shared" si="2"/>
        <v>45725</v>
      </c>
      <c r="O130" t="b">
        <f t="shared" si="3"/>
        <v>1</v>
      </c>
    </row>
    <row r="131" spans="1:1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  <c r="N131" s="31">
        <f t="shared" ref="N131:N194" si="4">DATEVALUE(LEFT(B131,10))</f>
        <v>45990</v>
      </c>
      <c r="O131" t="b">
        <f t="shared" ref="O131:O194" si="5">ISNUMBER(N131)</f>
        <v>1</v>
      </c>
    </row>
    <row r="132" spans="1:1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  <c r="N132" s="31">
        <f t="shared" si="4"/>
        <v>45674</v>
      </c>
      <c r="O132" t="b">
        <f t="shared" si="5"/>
        <v>1</v>
      </c>
    </row>
    <row r="133" spans="1:1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  <c r="N133" s="31">
        <f t="shared" si="4"/>
        <v>45741</v>
      </c>
      <c r="O133" t="b">
        <f t="shared" si="5"/>
        <v>1</v>
      </c>
    </row>
    <row r="134" spans="1:1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  <c r="N134" s="31">
        <f t="shared" si="4"/>
        <v>45698</v>
      </c>
      <c r="O134" t="b">
        <f t="shared" si="5"/>
        <v>1</v>
      </c>
    </row>
    <row r="135" spans="1:1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  <c r="N135" s="31">
        <f t="shared" si="4"/>
        <v>45726</v>
      </c>
      <c r="O135" t="b">
        <f t="shared" si="5"/>
        <v>1</v>
      </c>
    </row>
    <row r="136" spans="1:1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  <c r="N136" s="31">
        <f t="shared" si="4"/>
        <v>45737</v>
      </c>
      <c r="O136" t="b">
        <f t="shared" si="5"/>
        <v>1</v>
      </c>
    </row>
    <row r="137" spans="1:1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  <c r="N137" s="31">
        <f t="shared" si="4"/>
        <v>45807</v>
      </c>
      <c r="O137" t="b">
        <f t="shared" si="5"/>
        <v>1</v>
      </c>
    </row>
    <row r="138" spans="1:1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  <c r="N138" s="31">
        <f t="shared" si="4"/>
        <v>45988</v>
      </c>
      <c r="O138" t="b">
        <f t="shared" si="5"/>
        <v>1</v>
      </c>
    </row>
    <row r="139" spans="1:1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  <c r="N139" s="31">
        <f t="shared" si="4"/>
        <v>45918</v>
      </c>
      <c r="O139" t="b">
        <f t="shared" si="5"/>
        <v>1</v>
      </c>
    </row>
    <row r="140" spans="1:1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  <c r="N140" s="31">
        <f t="shared" si="4"/>
        <v>45751</v>
      </c>
      <c r="O140" t="b">
        <f t="shared" si="5"/>
        <v>1</v>
      </c>
    </row>
    <row r="141" spans="1:1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  <c r="N141" s="31">
        <f t="shared" si="4"/>
        <v>45682</v>
      </c>
      <c r="O141" t="b">
        <f t="shared" si="5"/>
        <v>1</v>
      </c>
    </row>
    <row r="142" spans="1:1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  <c r="N142" s="31">
        <f t="shared" si="4"/>
        <v>45869</v>
      </c>
      <c r="O142" t="b">
        <f t="shared" si="5"/>
        <v>1</v>
      </c>
    </row>
    <row r="143" spans="1:1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  <c r="N143" s="31">
        <f t="shared" si="4"/>
        <v>45721</v>
      </c>
      <c r="O143" t="b">
        <f t="shared" si="5"/>
        <v>1</v>
      </c>
    </row>
    <row r="144" spans="1:1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  <c r="N144" s="31">
        <f t="shared" si="4"/>
        <v>45838</v>
      </c>
      <c r="O144" t="b">
        <f t="shared" si="5"/>
        <v>1</v>
      </c>
    </row>
    <row r="145" spans="1:1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  <c r="N145" s="31">
        <f t="shared" si="4"/>
        <v>45997</v>
      </c>
      <c r="O145" t="b">
        <f t="shared" si="5"/>
        <v>1</v>
      </c>
    </row>
    <row r="146" spans="1:1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  <c r="N146" s="31">
        <f t="shared" si="4"/>
        <v>45728</v>
      </c>
      <c r="O146" t="b">
        <f t="shared" si="5"/>
        <v>1</v>
      </c>
    </row>
    <row r="147" spans="1:1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  <c r="N147" s="31">
        <f t="shared" si="4"/>
        <v>45816</v>
      </c>
      <c r="O147" t="b">
        <f t="shared" si="5"/>
        <v>1</v>
      </c>
    </row>
    <row r="148" spans="1:1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  <c r="N148" s="31">
        <f t="shared" si="4"/>
        <v>45845</v>
      </c>
      <c r="O148" t="b">
        <f t="shared" si="5"/>
        <v>1</v>
      </c>
    </row>
    <row r="149" spans="1:1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  <c r="N149" s="31">
        <f t="shared" si="4"/>
        <v>45917</v>
      </c>
      <c r="O149" t="b">
        <f t="shared" si="5"/>
        <v>1</v>
      </c>
    </row>
    <row r="150" spans="1:1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  <c r="N150" s="31">
        <f t="shared" si="4"/>
        <v>45748</v>
      </c>
      <c r="O150" t="b">
        <f t="shared" si="5"/>
        <v>1</v>
      </c>
    </row>
    <row r="151" spans="1:1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  <c r="N151" s="31">
        <f t="shared" si="4"/>
        <v>45913</v>
      </c>
      <c r="O151" t="b">
        <f t="shared" si="5"/>
        <v>1</v>
      </c>
    </row>
    <row r="152" spans="1:1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  <c r="N152" s="31">
        <f t="shared" si="4"/>
        <v>45696</v>
      </c>
      <c r="O152" t="b">
        <f t="shared" si="5"/>
        <v>1</v>
      </c>
    </row>
    <row r="153" spans="1:1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  <c r="N153" s="31">
        <f t="shared" si="4"/>
        <v>45834</v>
      </c>
      <c r="O153" t="b">
        <f t="shared" si="5"/>
        <v>1</v>
      </c>
    </row>
    <row r="154" spans="1:1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  <c r="N154" s="31">
        <f t="shared" si="4"/>
        <v>45956</v>
      </c>
      <c r="O154" t="b">
        <f t="shared" si="5"/>
        <v>1</v>
      </c>
    </row>
    <row r="155" spans="1:1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  <c r="N155" s="31">
        <f t="shared" si="4"/>
        <v>45734</v>
      </c>
      <c r="O155" t="b">
        <f t="shared" si="5"/>
        <v>1</v>
      </c>
    </row>
    <row r="156" spans="1:1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  <c r="N156" s="31">
        <f t="shared" si="4"/>
        <v>45860</v>
      </c>
      <c r="O156" t="b">
        <f t="shared" si="5"/>
        <v>1</v>
      </c>
    </row>
    <row r="157" spans="1:1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  <c r="N157" s="31">
        <f t="shared" si="4"/>
        <v>45727</v>
      </c>
      <c r="O157" t="b">
        <f t="shared" si="5"/>
        <v>1</v>
      </c>
    </row>
    <row r="158" spans="1:1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  <c r="N158" s="31">
        <f t="shared" si="4"/>
        <v>45900</v>
      </c>
      <c r="O158" t="b">
        <f t="shared" si="5"/>
        <v>1</v>
      </c>
    </row>
    <row r="159" spans="1:1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  <c r="N159" s="31">
        <f t="shared" si="4"/>
        <v>45704</v>
      </c>
      <c r="O159" t="b">
        <f t="shared" si="5"/>
        <v>1</v>
      </c>
    </row>
    <row r="160" spans="1:1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  <c r="N160" s="31">
        <f t="shared" si="4"/>
        <v>45920</v>
      </c>
      <c r="O160" t="b">
        <f t="shared" si="5"/>
        <v>1</v>
      </c>
    </row>
    <row r="161" spans="1:1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  <c r="N161" s="31">
        <f t="shared" si="4"/>
        <v>45952</v>
      </c>
      <c r="O161" t="b">
        <f t="shared" si="5"/>
        <v>1</v>
      </c>
    </row>
    <row r="162" spans="1:1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  <c r="N162" s="31">
        <f t="shared" si="4"/>
        <v>45811</v>
      </c>
      <c r="O162" t="b">
        <f t="shared" si="5"/>
        <v>1</v>
      </c>
    </row>
    <row r="163" spans="1:1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  <c r="N163" s="31">
        <f t="shared" si="4"/>
        <v>45965</v>
      </c>
      <c r="O163" t="b">
        <f t="shared" si="5"/>
        <v>1</v>
      </c>
    </row>
    <row r="164" spans="1:1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  <c r="N164" s="31">
        <f t="shared" si="4"/>
        <v>45664</v>
      </c>
      <c r="O164" t="b">
        <f t="shared" si="5"/>
        <v>1</v>
      </c>
    </row>
    <row r="165" spans="1:1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  <c r="N165" s="31">
        <f t="shared" si="4"/>
        <v>46023</v>
      </c>
      <c r="O165" t="b">
        <f t="shared" si="5"/>
        <v>1</v>
      </c>
    </row>
    <row r="166" spans="1:1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  <c r="N166" s="31">
        <f t="shared" si="4"/>
        <v>45950</v>
      </c>
      <c r="O166" t="b">
        <f t="shared" si="5"/>
        <v>1</v>
      </c>
    </row>
    <row r="167" spans="1:1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  <c r="N167" s="31">
        <f t="shared" si="4"/>
        <v>45904</v>
      </c>
      <c r="O167" t="b">
        <f t="shared" si="5"/>
        <v>1</v>
      </c>
    </row>
    <row r="168" spans="1:1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  <c r="N168" s="31">
        <f t="shared" si="4"/>
        <v>45719</v>
      </c>
      <c r="O168" t="b">
        <f t="shared" si="5"/>
        <v>1</v>
      </c>
    </row>
    <row r="169" spans="1:1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  <c r="N169" s="31">
        <f t="shared" si="4"/>
        <v>45875</v>
      </c>
      <c r="O169" t="b">
        <f t="shared" si="5"/>
        <v>1</v>
      </c>
    </row>
    <row r="170" spans="1:1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  <c r="N170" s="31">
        <f t="shared" si="4"/>
        <v>45751</v>
      </c>
      <c r="O170" t="b">
        <f t="shared" si="5"/>
        <v>1</v>
      </c>
    </row>
    <row r="171" spans="1:1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  <c r="N171" s="31">
        <f t="shared" si="4"/>
        <v>45677</v>
      </c>
      <c r="O171" t="b">
        <f t="shared" si="5"/>
        <v>1</v>
      </c>
    </row>
    <row r="172" spans="1:1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  <c r="N172" s="31">
        <f t="shared" si="4"/>
        <v>45787</v>
      </c>
      <c r="O172" t="b">
        <f t="shared" si="5"/>
        <v>1</v>
      </c>
    </row>
    <row r="173" spans="1:1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  <c r="N173" s="31">
        <f t="shared" si="4"/>
        <v>45683</v>
      </c>
      <c r="O173" t="b">
        <f t="shared" si="5"/>
        <v>1</v>
      </c>
    </row>
    <row r="174" spans="1:1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  <c r="N174" s="31">
        <f t="shared" si="4"/>
        <v>45755</v>
      </c>
      <c r="O174" t="b">
        <f t="shared" si="5"/>
        <v>1</v>
      </c>
    </row>
    <row r="175" spans="1:1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  <c r="N175" s="31">
        <f t="shared" si="4"/>
        <v>45815</v>
      </c>
      <c r="O175" t="b">
        <f t="shared" si="5"/>
        <v>1</v>
      </c>
    </row>
    <row r="176" spans="1:1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  <c r="N176" s="31">
        <f t="shared" si="4"/>
        <v>45668</v>
      </c>
      <c r="O176" t="b">
        <f t="shared" si="5"/>
        <v>1</v>
      </c>
    </row>
    <row r="177" spans="1:1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  <c r="N177" s="31">
        <f t="shared" si="4"/>
        <v>45812</v>
      </c>
      <c r="O177" t="b">
        <f t="shared" si="5"/>
        <v>1</v>
      </c>
    </row>
    <row r="178" spans="1:1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  <c r="N178" s="31">
        <f t="shared" si="4"/>
        <v>45829</v>
      </c>
      <c r="O178" t="b">
        <f t="shared" si="5"/>
        <v>1</v>
      </c>
    </row>
    <row r="179" spans="1:1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  <c r="N179" s="31">
        <f t="shared" si="4"/>
        <v>45839</v>
      </c>
      <c r="O179" t="b">
        <f t="shared" si="5"/>
        <v>1</v>
      </c>
    </row>
    <row r="180" spans="1:1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  <c r="N180" s="31">
        <f t="shared" si="4"/>
        <v>45721</v>
      </c>
      <c r="O180" t="b">
        <f t="shared" si="5"/>
        <v>1</v>
      </c>
    </row>
    <row r="181" spans="1:1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  <c r="N181" s="31">
        <f t="shared" si="4"/>
        <v>45961</v>
      </c>
      <c r="O181" t="b">
        <f t="shared" si="5"/>
        <v>1</v>
      </c>
    </row>
    <row r="182" spans="1:1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  <c r="N182" s="31">
        <f t="shared" si="4"/>
        <v>45683</v>
      </c>
      <c r="O182" t="b">
        <f t="shared" si="5"/>
        <v>1</v>
      </c>
    </row>
    <row r="183" spans="1:1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  <c r="N183" s="31">
        <f t="shared" si="4"/>
        <v>45975</v>
      </c>
      <c r="O183" t="b">
        <f t="shared" si="5"/>
        <v>1</v>
      </c>
    </row>
    <row r="184" spans="1:1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  <c r="N184" s="31">
        <f t="shared" si="4"/>
        <v>45954</v>
      </c>
      <c r="O184" t="b">
        <f t="shared" si="5"/>
        <v>1</v>
      </c>
    </row>
    <row r="185" spans="1:1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  <c r="N185" s="31">
        <f t="shared" si="4"/>
        <v>45672</v>
      </c>
      <c r="O185" t="b">
        <f t="shared" si="5"/>
        <v>1</v>
      </c>
    </row>
    <row r="186" spans="1:1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  <c r="N186" s="31">
        <f t="shared" si="4"/>
        <v>45724</v>
      </c>
      <c r="O186" t="b">
        <f t="shared" si="5"/>
        <v>1</v>
      </c>
    </row>
    <row r="187" spans="1:1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  <c r="N187" s="31">
        <f t="shared" si="4"/>
        <v>45790</v>
      </c>
      <c r="O187" t="b">
        <f t="shared" si="5"/>
        <v>1</v>
      </c>
    </row>
    <row r="188" spans="1:1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  <c r="N188" s="31">
        <f t="shared" si="4"/>
        <v>45774</v>
      </c>
      <c r="O188" t="b">
        <f t="shared" si="5"/>
        <v>1</v>
      </c>
    </row>
    <row r="189" spans="1:1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  <c r="N189" s="31">
        <f t="shared" si="4"/>
        <v>45834</v>
      </c>
      <c r="O189" t="b">
        <f t="shared" si="5"/>
        <v>1</v>
      </c>
    </row>
    <row r="190" spans="1:1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  <c r="N190" s="31">
        <f t="shared" si="4"/>
        <v>45908</v>
      </c>
      <c r="O190" t="b">
        <f t="shared" si="5"/>
        <v>1</v>
      </c>
    </row>
    <row r="191" spans="1:1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  <c r="N191" s="31">
        <f t="shared" si="4"/>
        <v>45988</v>
      </c>
      <c r="O191" t="b">
        <f t="shared" si="5"/>
        <v>1</v>
      </c>
    </row>
    <row r="192" spans="1:1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  <c r="N192" s="31">
        <f t="shared" si="4"/>
        <v>45714</v>
      </c>
      <c r="O192" t="b">
        <f t="shared" si="5"/>
        <v>1</v>
      </c>
    </row>
    <row r="193" spans="1:1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  <c r="N193" s="31">
        <f t="shared" si="4"/>
        <v>45813</v>
      </c>
      <c r="O193" t="b">
        <f t="shared" si="5"/>
        <v>1</v>
      </c>
    </row>
    <row r="194" spans="1:1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  <c r="N194" s="31">
        <f t="shared" si="4"/>
        <v>45821</v>
      </c>
      <c r="O194" t="b">
        <f t="shared" si="5"/>
        <v>1</v>
      </c>
    </row>
    <row r="195" spans="1:1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  <c r="N195" s="31">
        <f t="shared" ref="N195:N258" si="6">DATEVALUE(LEFT(B195,10))</f>
        <v>45875</v>
      </c>
      <c r="O195" t="b">
        <f t="shared" ref="O195:O258" si="7">ISNUMBER(N195)</f>
        <v>1</v>
      </c>
    </row>
    <row r="196" spans="1:1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  <c r="N196" s="31">
        <f t="shared" si="6"/>
        <v>45980</v>
      </c>
      <c r="O196" t="b">
        <f t="shared" si="7"/>
        <v>1</v>
      </c>
    </row>
    <row r="197" spans="1:1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  <c r="N197" s="31">
        <f t="shared" si="6"/>
        <v>45956</v>
      </c>
      <c r="O197" t="b">
        <f t="shared" si="7"/>
        <v>1</v>
      </c>
    </row>
    <row r="198" spans="1:1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  <c r="N198" s="31">
        <f t="shared" si="6"/>
        <v>45696</v>
      </c>
      <c r="O198" t="b">
        <f t="shared" si="7"/>
        <v>1</v>
      </c>
    </row>
    <row r="199" spans="1:1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  <c r="N199" s="31">
        <f t="shared" si="6"/>
        <v>45661</v>
      </c>
      <c r="O199" t="b">
        <f t="shared" si="7"/>
        <v>1</v>
      </c>
    </row>
    <row r="200" spans="1:1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  <c r="N200" s="31">
        <f t="shared" si="6"/>
        <v>45712</v>
      </c>
      <c r="O200" t="b">
        <f t="shared" si="7"/>
        <v>1</v>
      </c>
    </row>
    <row r="201" spans="1:1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  <c r="N201" s="31">
        <f t="shared" si="6"/>
        <v>46014</v>
      </c>
      <c r="O201" t="b">
        <f t="shared" si="7"/>
        <v>1</v>
      </c>
    </row>
    <row r="202" spans="1:1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  <c r="N202" s="31">
        <f t="shared" si="6"/>
        <v>45714</v>
      </c>
      <c r="O202" t="b">
        <f t="shared" si="7"/>
        <v>1</v>
      </c>
    </row>
    <row r="203" spans="1:1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  <c r="N203" s="31">
        <f t="shared" si="6"/>
        <v>45726</v>
      </c>
      <c r="O203" t="b">
        <f t="shared" si="7"/>
        <v>1</v>
      </c>
    </row>
    <row r="204" spans="1:1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  <c r="N204" s="31">
        <f t="shared" si="6"/>
        <v>46007</v>
      </c>
      <c r="O204" t="b">
        <f t="shared" si="7"/>
        <v>1</v>
      </c>
    </row>
    <row r="205" spans="1:1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  <c r="N205" s="31">
        <f t="shared" si="6"/>
        <v>45714</v>
      </c>
      <c r="O205" t="b">
        <f t="shared" si="7"/>
        <v>1</v>
      </c>
    </row>
    <row r="206" spans="1:1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  <c r="N206" s="31">
        <f t="shared" si="6"/>
        <v>45725</v>
      </c>
      <c r="O206" t="b">
        <f t="shared" si="7"/>
        <v>1</v>
      </c>
    </row>
    <row r="207" spans="1:1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  <c r="N207" s="31">
        <f t="shared" si="6"/>
        <v>45899</v>
      </c>
      <c r="O207" t="b">
        <f t="shared" si="7"/>
        <v>1</v>
      </c>
    </row>
    <row r="208" spans="1:1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  <c r="N208" s="31">
        <f t="shared" si="6"/>
        <v>45713</v>
      </c>
      <c r="O208" t="b">
        <f t="shared" si="7"/>
        <v>1</v>
      </c>
    </row>
    <row r="209" spans="1:1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  <c r="N209" s="31">
        <f t="shared" si="6"/>
        <v>45752</v>
      </c>
      <c r="O209" t="b">
        <f t="shared" si="7"/>
        <v>1</v>
      </c>
    </row>
    <row r="210" spans="1:1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  <c r="N210" s="31">
        <f t="shared" si="6"/>
        <v>45894</v>
      </c>
      <c r="O210" t="b">
        <f t="shared" si="7"/>
        <v>1</v>
      </c>
    </row>
    <row r="211" spans="1:1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  <c r="N211" s="31">
        <f t="shared" si="6"/>
        <v>45763</v>
      </c>
      <c r="O211" t="b">
        <f t="shared" si="7"/>
        <v>1</v>
      </c>
    </row>
    <row r="212" spans="1:1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  <c r="N212" s="31">
        <f t="shared" si="6"/>
        <v>45757</v>
      </c>
      <c r="O212" t="b">
        <f t="shared" si="7"/>
        <v>1</v>
      </c>
    </row>
    <row r="213" spans="1:1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  <c r="N213" s="31">
        <f t="shared" si="6"/>
        <v>45970</v>
      </c>
      <c r="O213" t="b">
        <f t="shared" si="7"/>
        <v>1</v>
      </c>
    </row>
    <row r="214" spans="1:1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  <c r="N214" s="31">
        <f t="shared" si="6"/>
        <v>45894</v>
      </c>
      <c r="O214" t="b">
        <f t="shared" si="7"/>
        <v>1</v>
      </c>
    </row>
    <row r="215" spans="1:1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  <c r="N215" s="31">
        <f t="shared" si="6"/>
        <v>45856</v>
      </c>
      <c r="O215" t="b">
        <f t="shared" si="7"/>
        <v>1</v>
      </c>
    </row>
    <row r="216" spans="1:1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  <c r="N216" s="31">
        <f t="shared" si="6"/>
        <v>45736</v>
      </c>
      <c r="O216" t="b">
        <f t="shared" si="7"/>
        <v>1</v>
      </c>
    </row>
    <row r="217" spans="1:1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  <c r="N217" s="31">
        <f t="shared" si="6"/>
        <v>45739</v>
      </c>
      <c r="O217" t="b">
        <f t="shared" si="7"/>
        <v>1</v>
      </c>
    </row>
    <row r="218" spans="1:1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  <c r="N218" s="31">
        <f t="shared" si="6"/>
        <v>45937</v>
      </c>
      <c r="O218" t="b">
        <f t="shared" si="7"/>
        <v>1</v>
      </c>
    </row>
    <row r="219" spans="1:1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  <c r="N219" s="31">
        <f t="shared" si="6"/>
        <v>45670</v>
      </c>
      <c r="O219" t="b">
        <f t="shared" si="7"/>
        <v>1</v>
      </c>
    </row>
    <row r="220" spans="1:1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  <c r="N220" s="31">
        <f t="shared" si="6"/>
        <v>45914</v>
      </c>
      <c r="O220" t="b">
        <f t="shared" si="7"/>
        <v>1</v>
      </c>
    </row>
    <row r="221" spans="1:1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  <c r="N221" s="31">
        <f t="shared" si="6"/>
        <v>45774</v>
      </c>
      <c r="O221" t="b">
        <f t="shared" si="7"/>
        <v>1</v>
      </c>
    </row>
    <row r="222" spans="1:1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  <c r="N222" s="31">
        <f t="shared" si="6"/>
        <v>45851</v>
      </c>
      <c r="O222" t="b">
        <f t="shared" si="7"/>
        <v>1</v>
      </c>
    </row>
    <row r="223" spans="1:1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  <c r="N223" s="31">
        <f t="shared" si="6"/>
        <v>45667</v>
      </c>
      <c r="O223" t="b">
        <f t="shared" si="7"/>
        <v>1</v>
      </c>
    </row>
    <row r="224" spans="1:1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  <c r="N224" s="31">
        <f t="shared" si="6"/>
        <v>45997</v>
      </c>
      <c r="O224" t="b">
        <f t="shared" si="7"/>
        <v>1</v>
      </c>
    </row>
    <row r="225" spans="1:1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  <c r="N225" s="31">
        <f t="shared" si="6"/>
        <v>45998</v>
      </c>
      <c r="O225" t="b">
        <f t="shared" si="7"/>
        <v>1</v>
      </c>
    </row>
    <row r="226" spans="1:1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  <c r="N226" s="31">
        <f t="shared" si="6"/>
        <v>45696</v>
      </c>
      <c r="O226" t="b">
        <f t="shared" si="7"/>
        <v>1</v>
      </c>
    </row>
    <row r="227" spans="1:1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  <c r="N227" s="31">
        <f t="shared" si="6"/>
        <v>45754</v>
      </c>
      <c r="O227" t="b">
        <f t="shared" si="7"/>
        <v>1</v>
      </c>
    </row>
    <row r="228" spans="1:1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  <c r="N228" s="31">
        <f t="shared" si="6"/>
        <v>45827</v>
      </c>
      <c r="O228" t="b">
        <f t="shared" si="7"/>
        <v>1</v>
      </c>
    </row>
    <row r="229" spans="1:1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  <c r="N229" s="31">
        <f t="shared" si="6"/>
        <v>45846</v>
      </c>
      <c r="O229" t="b">
        <f t="shared" si="7"/>
        <v>1</v>
      </c>
    </row>
    <row r="230" spans="1:1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  <c r="N230" s="31">
        <f t="shared" si="6"/>
        <v>45962</v>
      </c>
      <c r="O230" t="b">
        <f t="shared" si="7"/>
        <v>1</v>
      </c>
    </row>
    <row r="231" spans="1:1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  <c r="N231" s="31">
        <f t="shared" si="6"/>
        <v>45793</v>
      </c>
      <c r="O231" t="b">
        <f t="shared" si="7"/>
        <v>1</v>
      </c>
    </row>
    <row r="232" spans="1:1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  <c r="N232" s="31">
        <f t="shared" si="6"/>
        <v>45758</v>
      </c>
      <c r="O232" t="b">
        <f t="shared" si="7"/>
        <v>1</v>
      </c>
    </row>
    <row r="233" spans="1:1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  <c r="N233" s="31">
        <f t="shared" si="6"/>
        <v>45829</v>
      </c>
      <c r="O233" t="b">
        <f t="shared" si="7"/>
        <v>1</v>
      </c>
    </row>
    <row r="234" spans="1:1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  <c r="N234" s="31">
        <f t="shared" si="6"/>
        <v>45905</v>
      </c>
      <c r="O234" t="b">
        <f t="shared" si="7"/>
        <v>1</v>
      </c>
    </row>
    <row r="235" spans="1:1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  <c r="N235" s="31">
        <f t="shared" si="6"/>
        <v>45952</v>
      </c>
      <c r="O235" t="b">
        <f t="shared" si="7"/>
        <v>1</v>
      </c>
    </row>
    <row r="236" spans="1:1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  <c r="N236" s="31">
        <f t="shared" si="6"/>
        <v>45796</v>
      </c>
      <c r="O236" t="b">
        <f t="shared" si="7"/>
        <v>1</v>
      </c>
    </row>
    <row r="237" spans="1:1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  <c r="N237" s="31">
        <f t="shared" si="6"/>
        <v>45833</v>
      </c>
      <c r="O237" t="b">
        <f t="shared" si="7"/>
        <v>1</v>
      </c>
    </row>
    <row r="238" spans="1:1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  <c r="N238" s="31">
        <f t="shared" si="6"/>
        <v>45692</v>
      </c>
      <c r="O238" t="b">
        <f t="shared" si="7"/>
        <v>1</v>
      </c>
    </row>
    <row r="239" spans="1:1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  <c r="N239" s="31">
        <f t="shared" si="6"/>
        <v>45711</v>
      </c>
      <c r="O239" t="b">
        <f t="shared" si="7"/>
        <v>1</v>
      </c>
    </row>
    <row r="240" spans="1:1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  <c r="N240" s="31">
        <f t="shared" si="6"/>
        <v>45717</v>
      </c>
      <c r="O240" t="b">
        <f t="shared" si="7"/>
        <v>1</v>
      </c>
    </row>
    <row r="241" spans="1:1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  <c r="N241" s="31">
        <f t="shared" si="6"/>
        <v>45700</v>
      </c>
      <c r="O241" t="b">
        <f t="shared" si="7"/>
        <v>1</v>
      </c>
    </row>
    <row r="242" spans="1:1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  <c r="N242" s="31">
        <f t="shared" si="6"/>
        <v>46013</v>
      </c>
      <c r="O242" t="b">
        <f t="shared" si="7"/>
        <v>1</v>
      </c>
    </row>
    <row r="243" spans="1:1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  <c r="N243" s="31">
        <f t="shared" si="6"/>
        <v>45781</v>
      </c>
      <c r="O243" t="b">
        <f t="shared" si="7"/>
        <v>1</v>
      </c>
    </row>
    <row r="244" spans="1:1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  <c r="N244" s="31">
        <f t="shared" si="6"/>
        <v>45743</v>
      </c>
      <c r="O244" t="b">
        <f t="shared" si="7"/>
        <v>1</v>
      </c>
    </row>
    <row r="245" spans="1:1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  <c r="N245" s="31">
        <f t="shared" si="6"/>
        <v>45921</v>
      </c>
      <c r="O245" t="b">
        <f t="shared" si="7"/>
        <v>1</v>
      </c>
    </row>
    <row r="246" spans="1:1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  <c r="N246" s="31">
        <f t="shared" si="6"/>
        <v>45808</v>
      </c>
      <c r="O246" t="b">
        <f t="shared" si="7"/>
        <v>1</v>
      </c>
    </row>
    <row r="247" spans="1:1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  <c r="N247" s="31">
        <f t="shared" si="6"/>
        <v>45917</v>
      </c>
      <c r="O247" t="b">
        <f t="shared" si="7"/>
        <v>1</v>
      </c>
    </row>
    <row r="248" spans="1:1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  <c r="N248" s="31">
        <f t="shared" si="6"/>
        <v>45697</v>
      </c>
      <c r="O248" t="b">
        <f t="shared" si="7"/>
        <v>1</v>
      </c>
    </row>
    <row r="249" spans="1:1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  <c r="N249" s="31">
        <f t="shared" si="6"/>
        <v>45680</v>
      </c>
      <c r="O249" t="b">
        <f t="shared" si="7"/>
        <v>1</v>
      </c>
    </row>
    <row r="250" spans="1:1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  <c r="N250" s="31">
        <f t="shared" si="6"/>
        <v>46011</v>
      </c>
      <c r="O250" t="b">
        <f t="shared" si="7"/>
        <v>1</v>
      </c>
    </row>
    <row r="251" spans="1:1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  <c r="N251" s="31">
        <f t="shared" si="6"/>
        <v>45749</v>
      </c>
      <c r="O251" t="b">
        <f t="shared" si="7"/>
        <v>1</v>
      </c>
    </row>
    <row r="252" spans="1:1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  <c r="N252" s="31">
        <f t="shared" si="6"/>
        <v>45897</v>
      </c>
      <c r="O252" t="b">
        <f t="shared" si="7"/>
        <v>1</v>
      </c>
    </row>
    <row r="253" spans="1:1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  <c r="N253" s="31">
        <f t="shared" si="6"/>
        <v>45763</v>
      </c>
      <c r="O253" t="b">
        <f t="shared" si="7"/>
        <v>1</v>
      </c>
    </row>
    <row r="254" spans="1:1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  <c r="N254" s="31">
        <f t="shared" si="6"/>
        <v>45886</v>
      </c>
      <c r="O254" t="b">
        <f t="shared" si="7"/>
        <v>1</v>
      </c>
    </row>
    <row r="255" spans="1:1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  <c r="N255" s="31">
        <f t="shared" si="6"/>
        <v>45779</v>
      </c>
      <c r="O255" t="b">
        <f t="shared" si="7"/>
        <v>1</v>
      </c>
    </row>
    <row r="256" spans="1:1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  <c r="N256" s="31">
        <f t="shared" si="6"/>
        <v>45780</v>
      </c>
      <c r="O256" t="b">
        <f t="shared" si="7"/>
        <v>1</v>
      </c>
    </row>
    <row r="257" spans="1:1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  <c r="N257" s="31">
        <f t="shared" si="6"/>
        <v>46006</v>
      </c>
      <c r="O257" t="b">
        <f t="shared" si="7"/>
        <v>1</v>
      </c>
    </row>
    <row r="258" spans="1:1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  <c r="N258" s="31">
        <f t="shared" si="6"/>
        <v>45910</v>
      </c>
      <c r="O258" t="b">
        <f t="shared" si="7"/>
        <v>1</v>
      </c>
    </row>
    <row r="259" spans="1:1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  <c r="N259" s="31">
        <f t="shared" ref="N259:N322" si="8">DATEVALUE(LEFT(B259,10))</f>
        <v>45826</v>
      </c>
      <c r="O259" t="b">
        <f t="shared" ref="O259:O322" si="9">ISNUMBER(N259)</f>
        <v>1</v>
      </c>
    </row>
    <row r="260" spans="1:1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  <c r="N260" s="31">
        <f t="shared" si="8"/>
        <v>45677</v>
      </c>
      <c r="O260" t="b">
        <f t="shared" si="9"/>
        <v>1</v>
      </c>
    </row>
    <row r="261" spans="1:1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  <c r="N261" s="31">
        <f t="shared" si="8"/>
        <v>45847</v>
      </c>
      <c r="O261" t="b">
        <f t="shared" si="9"/>
        <v>1</v>
      </c>
    </row>
    <row r="262" spans="1:1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  <c r="N262" s="31">
        <f t="shared" si="8"/>
        <v>45958</v>
      </c>
      <c r="O262" t="b">
        <f t="shared" si="9"/>
        <v>1</v>
      </c>
    </row>
    <row r="263" spans="1:1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  <c r="N263" s="31">
        <f t="shared" si="8"/>
        <v>45830</v>
      </c>
      <c r="O263" t="b">
        <f t="shared" si="9"/>
        <v>1</v>
      </c>
    </row>
    <row r="264" spans="1:1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  <c r="N264" s="31">
        <f t="shared" si="8"/>
        <v>45765</v>
      </c>
      <c r="O264" t="b">
        <f t="shared" si="9"/>
        <v>1</v>
      </c>
    </row>
    <row r="265" spans="1:1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  <c r="N265" s="31">
        <f t="shared" si="8"/>
        <v>45781</v>
      </c>
      <c r="O265" t="b">
        <f t="shared" si="9"/>
        <v>1</v>
      </c>
    </row>
    <row r="266" spans="1:1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  <c r="N266" s="31">
        <f t="shared" si="8"/>
        <v>45987</v>
      </c>
      <c r="O266" t="b">
        <f t="shared" si="9"/>
        <v>1</v>
      </c>
    </row>
    <row r="267" spans="1:1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  <c r="N267" s="31">
        <f t="shared" si="8"/>
        <v>45783</v>
      </c>
      <c r="O267" t="b">
        <f t="shared" si="9"/>
        <v>1</v>
      </c>
    </row>
    <row r="268" spans="1:1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  <c r="N268" s="31">
        <f t="shared" si="8"/>
        <v>45751</v>
      </c>
      <c r="O268" t="b">
        <f t="shared" si="9"/>
        <v>1</v>
      </c>
    </row>
    <row r="269" spans="1:1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  <c r="N269" s="31">
        <f t="shared" si="8"/>
        <v>45870</v>
      </c>
      <c r="O269" t="b">
        <f t="shared" si="9"/>
        <v>1</v>
      </c>
    </row>
    <row r="270" spans="1:1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  <c r="N270" s="31">
        <f t="shared" si="8"/>
        <v>45955</v>
      </c>
      <c r="O270" t="b">
        <f t="shared" si="9"/>
        <v>1</v>
      </c>
    </row>
    <row r="271" spans="1:1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  <c r="N271" s="31">
        <f t="shared" si="8"/>
        <v>46017</v>
      </c>
      <c r="O271" t="b">
        <f t="shared" si="9"/>
        <v>1</v>
      </c>
    </row>
    <row r="272" spans="1:1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  <c r="N272" s="31">
        <f t="shared" si="8"/>
        <v>45872</v>
      </c>
      <c r="O272" t="b">
        <f t="shared" si="9"/>
        <v>1</v>
      </c>
    </row>
    <row r="273" spans="1:1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  <c r="N273" s="31">
        <f t="shared" si="8"/>
        <v>45667</v>
      </c>
      <c r="O273" t="b">
        <f t="shared" si="9"/>
        <v>1</v>
      </c>
    </row>
    <row r="274" spans="1:1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  <c r="N274" s="31">
        <f t="shared" si="8"/>
        <v>45911</v>
      </c>
      <c r="O274" t="b">
        <f t="shared" si="9"/>
        <v>1</v>
      </c>
    </row>
    <row r="275" spans="1:1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  <c r="N275" s="31">
        <f t="shared" si="8"/>
        <v>45815</v>
      </c>
      <c r="O275" t="b">
        <f t="shared" si="9"/>
        <v>1</v>
      </c>
    </row>
    <row r="276" spans="1:1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  <c r="N276" s="31">
        <f t="shared" si="8"/>
        <v>45906</v>
      </c>
      <c r="O276" t="b">
        <f t="shared" si="9"/>
        <v>1</v>
      </c>
    </row>
    <row r="277" spans="1:1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  <c r="N277" s="31">
        <f t="shared" si="8"/>
        <v>45913</v>
      </c>
      <c r="O277" t="b">
        <f t="shared" si="9"/>
        <v>1</v>
      </c>
    </row>
    <row r="278" spans="1:1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  <c r="N278" s="31">
        <f t="shared" si="8"/>
        <v>45914</v>
      </c>
      <c r="O278" t="b">
        <f t="shared" si="9"/>
        <v>1</v>
      </c>
    </row>
    <row r="279" spans="1:1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  <c r="N279" s="31">
        <f t="shared" si="8"/>
        <v>45930</v>
      </c>
      <c r="O279" t="b">
        <f t="shared" si="9"/>
        <v>1</v>
      </c>
    </row>
    <row r="280" spans="1:1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  <c r="N280" s="31">
        <f t="shared" si="8"/>
        <v>45888</v>
      </c>
      <c r="O280" t="b">
        <f t="shared" si="9"/>
        <v>1</v>
      </c>
    </row>
    <row r="281" spans="1:1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  <c r="N281" s="31">
        <f t="shared" si="8"/>
        <v>46017</v>
      </c>
      <c r="O281" t="b">
        <f t="shared" si="9"/>
        <v>1</v>
      </c>
    </row>
    <row r="282" spans="1:1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  <c r="N282" s="31">
        <f t="shared" si="8"/>
        <v>46019</v>
      </c>
      <c r="O282" t="b">
        <f t="shared" si="9"/>
        <v>1</v>
      </c>
    </row>
    <row r="283" spans="1:1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  <c r="N283" s="31">
        <f t="shared" si="8"/>
        <v>45666</v>
      </c>
      <c r="O283" t="b">
        <f t="shared" si="9"/>
        <v>1</v>
      </c>
    </row>
    <row r="284" spans="1:1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  <c r="N284" s="31">
        <f t="shared" si="8"/>
        <v>45786</v>
      </c>
      <c r="O284" t="b">
        <f t="shared" si="9"/>
        <v>1</v>
      </c>
    </row>
    <row r="285" spans="1:1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  <c r="N285" s="31">
        <f t="shared" si="8"/>
        <v>45947</v>
      </c>
      <c r="O285" t="b">
        <f t="shared" si="9"/>
        <v>1</v>
      </c>
    </row>
    <row r="286" spans="1:1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  <c r="N286" s="31">
        <f t="shared" si="8"/>
        <v>45953</v>
      </c>
      <c r="O286" t="b">
        <f t="shared" si="9"/>
        <v>1</v>
      </c>
    </row>
    <row r="287" spans="1:1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  <c r="N287" s="31">
        <f t="shared" si="8"/>
        <v>45668</v>
      </c>
      <c r="O287" t="b">
        <f t="shared" si="9"/>
        <v>1</v>
      </c>
    </row>
    <row r="288" spans="1:1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  <c r="N288" s="31">
        <f t="shared" si="8"/>
        <v>45965</v>
      </c>
      <c r="O288" t="b">
        <f t="shared" si="9"/>
        <v>1</v>
      </c>
    </row>
    <row r="289" spans="1:1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  <c r="N289" s="31">
        <f t="shared" si="8"/>
        <v>45968</v>
      </c>
      <c r="O289" t="b">
        <f t="shared" si="9"/>
        <v>1</v>
      </c>
    </row>
    <row r="290" spans="1:1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  <c r="N290" s="31">
        <f t="shared" si="8"/>
        <v>45753</v>
      </c>
      <c r="O290" t="b">
        <f t="shared" si="9"/>
        <v>1</v>
      </c>
    </row>
    <row r="291" spans="1:1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  <c r="N291" s="31">
        <f t="shared" si="8"/>
        <v>45900</v>
      </c>
      <c r="O291" t="b">
        <f t="shared" si="9"/>
        <v>1</v>
      </c>
    </row>
    <row r="292" spans="1:1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  <c r="N292" s="31">
        <f t="shared" si="8"/>
        <v>45708</v>
      </c>
      <c r="O292" t="b">
        <f t="shared" si="9"/>
        <v>1</v>
      </c>
    </row>
    <row r="293" spans="1:1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  <c r="N293" s="31">
        <f t="shared" si="8"/>
        <v>45763</v>
      </c>
      <c r="O293" t="b">
        <f t="shared" si="9"/>
        <v>1</v>
      </c>
    </row>
    <row r="294" spans="1:1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  <c r="N294" s="31">
        <f t="shared" si="8"/>
        <v>45718</v>
      </c>
      <c r="O294" t="b">
        <f t="shared" si="9"/>
        <v>1</v>
      </c>
    </row>
    <row r="295" spans="1:1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  <c r="N295" s="31">
        <f t="shared" si="8"/>
        <v>45781</v>
      </c>
      <c r="O295" t="b">
        <f t="shared" si="9"/>
        <v>1</v>
      </c>
    </row>
    <row r="296" spans="1:1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  <c r="N296" s="31">
        <f t="shared" si="8"/>
        <v>45842</v>
      </c>
      <c r="O296" t="b">
        <f t="shared" si="9"/>
        <v>1</v>
      </c>
    </row>
    <row r="297" spans="1:1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  <c r="N297" s="31">
        <f t="shared" si="8"/>
        <v>45979</v>
      </c>
      <c r="O297" t="b">
        <f t="shared" si="9"/>
        <v>1</v>
      </c>
    </row>
    <row r="298" spans="1:1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  <c r="N298" s="31">
        <f t="shared" si="8"/>
        <v>45866</v>
      </c>
      <c r="O298" t="b">
        <f t="shared" si="9"/>
        <v>1</v>
      </c>
    </row>
    <row r="299" spans="1:1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  <c r="N299" s="31">
        <f t="shared" si="8"/>
        <v>45741</v>
      </c>
      <c r="O299" t="b">
        <f t="shared" si="9"/>
        <v>1</v>
      </c>
    </row>
    <row r="300" spans="1:1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  <c r="N300" s="31">
        <f t="shared" si="8"/>
        <v>45839</v>
      </c>
      <c r="O300" t="b">
        <f t="shared" si="9"/>
        <v>1</v>
      </c>
    </row>
    <row r="301" spans="1:1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  <c r="N301" s="31">
        <f t="shared" si="8"/>
        <v>45912</v>
      </c>
      <c r="O301" t="b">
        <f t="shared" si="9"/>
        <v>1</v>
      </c>
    </row>
    <row r="302" spans="1:1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  <c r="N302" s="31">
        <f t="shared" si="8"/>
        <v>45878</v>
      </c>
      <c r="O302" t="b">
        <f t="shared" si="9"/>
        <v>1</v>
      </c>
    </row>
    <row r="303" spans="1:1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  <c r="N303" s="31">
        <f t="shared" si="8"/>
        <v>45743</v>
      </c>
      <c r="O303" t="b">
        <f t="shared" si="9"/>
        <v>1</v>
      </c>
    </row>
    <row r="304" spans="1:1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  <c r="N304" s="31">
        <f t="shared" si="8"/>
        <v>45844</v>
      </c>
      <c r="O304" t="b">
        <f t="shared" si="9"/>
        <v>1</v>
      </c>
    </row>
    <row r="305" spans="1:1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  <c r="N305" s="31">
        <f t="shared" si="8"/>
        <v>45896</v>
      </c>
      <c r="O305" t="b">
        <f t="shared" si="9"/>
        <v>1</v>
      </c>
    </row>
    <row r="306" spans="1:1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  <c r="N306" s="31">
        <f t="shared" si="8"/>
        <v>45871</v>
      </c>
      <c r="O306" t="b">
        <f t="shared" si="9"/>
        <v>1</v>
      </c>
    </row>
    <row r="307" spans="1:1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  <c r="N307" s="31">
        <f t="shared" si="8"/>
        <v>46023</v>
      </c>
      <c r="O307" t="b">
        <f t="shared" si="9"/>
        <v>1</v>
      </c>
    </row>
    <row r="308" spans="1:1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  <c r="N308" s="31">
        <f t="shared" si="8"/>
        <v>46003</v>
      </c>
      <c r="O308" t="b">
        <f t="shared" si="9"/>
        <v>1</v>
      </c>
    </row>
    <row r="309" spans="1:1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  <c r="N309" s="31">
        <f t="shared" si="8"/>
        <v>45739</v>
      </c>
      <c r="O309" t="b">
        <f t="shared" si="9"/>
        <v>1</v>
      </c>
    </row>
    <row r="310" spans="1:1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  <c r="N310" s="31">
        <f t="shared" si="8"/>
        <v>45867</v>
      </c>
      <c r="O310" t="b">
        <f t="shared" si="9"/>
        <v>1</v>
      </c>
    </row>
    <row r="311" spans="1:1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  <c r="N311" s="31">
        <f t="shared" si="8"/>
        <v>45908</v>
      </c>
      <c r="O311" t="b">
        <f t="shared" si="9"/>
        <v>1</v>
      </c>
    </row>
    <row r="312" spans="1:1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  <c r="N312" s="31">
        <f t="shared" si="8"/>
        <v>45973</v>
      </c>
      <c r="O312" t="b">
        <f t="shared" si="9"/>
        <v>1</v>
      </c>
    </row>
    <row r="313" spans="1:1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  <c r="N313" s="31">
        <f t="shared" si="8"/>
        <v>45953</v>
      </c>
      <c r="O313" t="b">
        <f t="shared" si="9"/>
        <v>1</v>
      </c>
    </row>
    <row r="314" spans="1:1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  <c r="N314" s="31">
        <f t="shared" si="8"/>
        <v>45860</v>
      </c>
      <c r="O314" t="b">
        <f t="shared" si="9"/>
        <v>1</v>
      </c>
    </row>
    <row r="315" spans="1:1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  <c r="N315" s="31">
        <f t="shared" si="8"/>
        <v>45816</v>
      </c>
      <c r="O315" t="b">
        <f t="shared" si="9"/>
        <v>1</v>
      </c>
    </row>
    <row r="316" spans="1:1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  <c r="N316" s="31">
        <f t="shared" si="8"/>
        <v>45768</v>
      </c>
      <c r="O316" t="b">
        <f t="shared" si="9"/>
        <v>1</v>
      </c>
    </row>
    <row r="317" spans="1:1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  <c r="N317" s="31">
        <f t="shared" si="8"/>
        <v>45713</v>
      </c>
      <c r="O317" t="b">
        <f t="shared" si="9"/>
        <v>1</v>
      </c>
    </row>
    <row r="318" spans="1:1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  <c r="N318" s="31">
        <f t="shared" si="8"/>
        <v>45687</v>
      </c>
      <c r="O318" t="b">
        <f t="shared" si="9"/>
        <v>1</v>
      </c>
    </row>
    <row r="319" spans="1:1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  <c r="N319" s="31">
        <f t="shared" si="8"/>
        <v>45816</v>
      </c>
      <c r="O319" t="b">
        <f t="shared" si="9"/>
        <v>1</v>
      </c>
    </row>
    <row r="320" spans="1:1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  <c r="N320" s="31">
        <f t="shared" si="8"/>
        <v>45784</v>
      </c>
      <c r="O320" t="b">
        <f t="shared" si="9"/>
        <v>1</v>
      </c>
    </row>
    <row r="321" spans="1:1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  <c r="N321" s="31">
        <f t="shared" si="8"/>
        <v>45830</v>
      </c>
      <c r="O321" t="b">
        <f t="shared" si="9"/>
        <v>1</v>
      </c>
    </row>
    <row r="322" spans="1:1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  <c r="N322" s="31">
        <f t="shared" si="8"/>
        <v>45884</v>
      </c>
      <c r="O322" t="b">
        <f t="shared" si="9"/>
        <v>1</v>
      </c>
    </row>
    <row r="323" spans="1:1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  <c r="N323" s="31">
        <f t="shared" ref="N323:N386" si="10">DATEVALUE(LEFT(B323,10))</f>
        <v>45920</v>
      </c>
      <c r="O323" t="b">
        <f t="shared" ref="O323:O386" si="11">ISNUMBER(N323)</f>
        <v>1</v>
      </c>
    </row>
    <row r="324" spans="1:1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  <c r="N324" s="31">
        <f t="shared" si="10"/>
        <v>45858</v>
      </c>
      <c r="O324" t="b">
        <f t="shared" si="11"/>
        <v>1</v>
      </c>
    </row>
    <row r="325" spans="1:1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  <c r="N325" s="31">
        <f t="shared" si="10"/>
        <v>45895</v>
      </c>
      <c r="O325" t="b">
        <f t="shared" si="11"/>
        <v>1</v>
      </c>
    </row>
    <row r="326" spans="1:1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  <c r="N326" s="31">
        <f t="shared" si="10"/>
        <v>45804</v>
      </c>
      <c r="O326" t="b">
        <f t="shared" si="11"/>
        <v>1</v>
      </c>
    </row>
    <row r="327" spans="1:1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  <c r="N327" s="31">
        <f t="shared" si="10"/>
        <v>45746</v>
      </c>
      <c r="O327" t="b">
        <f t="shared" si="11"/>
        <v>1</v>
      </c>
    </row>
    <row r="328" spans="1:1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  <c r="N328" s="31">
        <f t="shared" si="10"/>
        <v>45783</v>
      </c>
      <c r="O328" t="b">
        <f t="shared" si="11"/>
        <v>1</v>
      </c>
    </row>
    <row r="329" spans="1:1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  <c r="N329" s="31">
        <f t="shared" si="10"/>
        <v>45759</v>
      </c>
      <c r="O329" t="b">
        <f t="shared" si="11"/>
        <v>1</v>
      </c>
    </row>
    <row r="330" spans="1:1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  <c r="N330" s="31">
        <f t="shared" si="10"/>
        <v>45944</v>
      </c>
      <c r="O330" t="b">
        <f t="shared" si="11"/>
        <v>1</v>
      </c>
    </row>
    <row r="331" spans="1:1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  <c r="N331" s="31">
        <f t="shared" si="10"/>
        <v>45775</v>
      </c>
      <c r="O331" t="b">
        <f t="shared" si="11"/>
        <v>1</v>
      </c>
    </row>
    <row r="332" spans="1:1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  <c r="N332" s="31">
        <f t="shared" si="10"/>
        <v>45691</v>
      </c>
      <c r="O332" t="b">
        <f t="shared" si="11"/>
        <v>1</v>
      </c>
    </row>
    <row r="333" spans="1:1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  <c r="N333" s="31">
        <f t="shared" si="10"/>
        <v>45861</v>
      </c>
      <c r="O333" t="b">
        <f t="shared" si="11"/>
        <v>1</v>
      </c>
    </row>
    <row r="334" spans="1:1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  <c r="N334" s="31">
        <f t="shared" si="10"/>
        <v>45686</v>
      </c>
      <c r="O334" t="b">
        <f t="shared" si="11"/>
        <v>1</v>
      </c>
    </row>
    <row r="335" spans="1:1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  <c r="N335" s="31">
        <f t="shared" si="10"/>
        <v>45946</v>
      </c>
      <c r="O335" t="b">
        <f t="shared" si="11"/>
        <v>1</v>
      </c>
    </row>
    <row r="336" spans="1:1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  <c r="N336" s="31">
        <f t="shared" si="10"/>
        <v>45712</v>
      </c>
      <c r="O336" t="b">
        <f t="shared" si="11"/>
        <v>1</v>
      </c>
    </row>
    <row r="337" spans="1:1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  <c r="N337" s="31">
        <f t="shared" si="10"/>
        <v>45996</v>
      </c>
      <c r="O337" t="b">
        <f t="shared" si="11"/>
        <v>1</v>
      </c>
    </row>
    <row r="338" spans="1:1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  <c r="N338" s="31">
        <f t="shared" si="10"/>
        <v>45921</v>
      </c>
      <c r="O338" t="b">
        <f t="shared" si="11"/>
        <v>1</v>
      </c>
    </row>
    <row r="339" spans="1:1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  <c r="N339" s="31">
        <f t="shared" si="10"/>
        <v>45718</v>
      </c>
      <c r="O339" t="b">
        <f t="shared" si="11"/>
        <v>1</v>
      </c>
    </row>
    <row r="340" spans="1:1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  <c r="N340" s="31">
        <f t="shared" si="10"/>
        <v>45958</v>
      </c>
      <c r="O340" t="b">
        <f t="shared" si="11"/>
        <v>1</v>
      </c>
    </row>
    <row r="341" spans="1:1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  <c r="N341" s="31">
        <f t="shared" si="10"/>
        <v>45701</v>
      </c>
      <c r="O341" t="b">
        <f t="shared" si="11"/>
        <v>1</v>
      </c>
    </row>
    <row r="342" spans="1:1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  <c r="N342" s="31">
        <f t="shared" si="10"/>
        <v>45685</v>
      </c>
      <c r="O342" t="b">
        <f t="shared" si="11"/>
        <v>1</v>
      </c>
    </row>
    <row r="343" spans="1:1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  <c r="N343" s="31">
        <f t="shared" si="10"/>
        <v>45959</v>
      </c>
      <c r="O343" t="b">
        <f t="shared" si="11"/>
        <v>1</v>
      </c>
    </row>
    <row r="344" spans="1:1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  <c r="N344" s="31">
        <f t="shared" si="10"/>
        <v>46009</v>
      </c>
      <c r="O344" t="b">
        <f t="shared" si="11"/>
        <v>1</v>
      </c>
    </row>
    <row r="345" spans="1:1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  <c r="N345" s="31">
        <f t="shared" si="10"/>
        <v>45778</v>
      </c>
      <c r="O345" t="b">
        <f t="shared" si="11"/>
        <v>1</v>
      </c>
    </row>
    <row r="346" spans="1:1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  <c r="N346" s="31">
        <f t="shared" si="10"/>
        <v>45697</v>
      </c>
      <c r="O346" t="b">
        <f t="shared" si="11"/>
        <v>1</v>
      </c>
    </row>
    <row r="347" spans="1:1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  <c r="N347" s="31">
        <f t="shared" si="10"/>
        <v>45704</v>
      </c>
      <c r="O347" t="b">
        <f t="shared" si="11"/>
        <v>1</v>
      </c>
    </row>
    <row r="348" spans="1:1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  <c r="N348" s="31">
        <f t="shared" si="10"/>
        <v>45854</v>
      </c>
      <c r="O348" t="b">
        <f t="shared" si="11"/>
        <v>1</v>
      </c>
    </row>
    <row r="349" spans="1:1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  <c r="N349" s="31">
        <f t="shared" si="10"/>
        <v>45743</v>
      </c>
      <c r="O349" t="b">
        <f t="shared" si="11"/>
        <v>1</v>
      </c>
    </row>
    <row r="350" spans="1:1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  <c r="N350" s="31">
        <f t="shared" si="10"/>
        <v>45849</v>
      </c>
      <c r="O350" t="b">
        <f t="shared" si="11"/>
        <v>1</v>
      </c>
    </row>
    <row r="351" spans="1:1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  <c r="N351" s="31">
        <f t="shared" si="10"/>
        <v>45742</v>
      </c>
      <c r="O351" t="b">
        <f t="shared" si="11"/>
        <v>1</v>
      </c>
    </row>
    <row r="352" spans="1:1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  <c r="N352" s="31">
        <f t="shared" si="10"/>
        <v>45712</v>
      </c>
      <c r="O352" t="b">
        <f t="shared" si="11"/>
        <v>1</v>
      </c>
    </row>
    <row r="353" spans="1:1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  <c r="N353" s="31">
        <f t="shared" si="10"/>
        <v>45701</v>
      </c>
      <c r="O353" t="b">
        <f t="shared" si="11"/>
        <v>1</v>
      </c>
    </row>
    <row r="354" spans="1:1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  <c r="N354" s="31">
        <f t="shared" si="10"/>
        <v>45969</v>
      </c>
      <c r="O354" t="b">
        <f t="shared" si="11"/>
        <v>1</v>
      </c>
    </row>
    <row r="355" spans="1:1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  <c r="N355" s="31">
        <f t="shared" si="10"/>
        <v>45950</v>
      </c>
      <c r="O355" t="b">
        <f t="shared" si="11"/>
        <v>1</v>
      </c>
    </row>
    <row r="356" spans="1:1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  <c r="N356" s="31">
        <f t="shared" si="10"/>
        <v>45886</v>
      </c>
      <c r="O356" t="b">
        <f t="shared" si="11"/>
        <v>1</v>
      </c>
    </row>
    <row r="357" spans="1:1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  <c r="N357" s="31">
        <f t="shared" si="10"/>
        <v>45853</v>
      </c>
      <c r="O357" t="b">
        <f t="shared" si="11"/>
        <v>1</v>
      </c>
    </row>
    <row r="358" spans="1:1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  <c r="N358" s="31">
        <f t="shared" si="10"/>
        <v>45880</v>
      </c>
      <c r="O358" t="b">
        <f t="shared" si="11"/>
        <v>1</v>
      </c>
    </row>
    <row r="359" spans="1:1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  <c r="N359" s="31">
        <f t="shared" si="10"/>
        <v>45683</v>
      </c>
      <c r="O359" t="b">
        <f t="shared" si="11"/>
        <v>1</v>
      </c>
    </row>
    <row r="360" spans="1:1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  <c r="N360" s="31">
        <f t="shared" si="10"/>
        <v>45699</v>
      </c>
      <c r="O360" t="b">
        <f t="shared" si="11"/>
        <v>1</v>
      </c>
    </row>
    <row r="361" spans="1:1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  <c r="N361" s="31">
        <f t="shared" si="10"/>
        <v>45773</v>
      </c>
      <c r="O361" t="b">
        <f t="shared" si="11"/>
        <v>1</v>
      </c>
    </row>
    <row r="362" spans="1:1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  <c r="N362" s="31">
        <f t="shared" si="10"/>
        <v>45931</v>
      </c>
      <c r="O362" t="b">
        <f t="shared" si="11"/>
        <v>1</v>
      </c>
    </row>
    <row r="363" spans="1:1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  <c r="N363" s="31">
        <f t="shared" si="10"/>
        <v>45777</v>
      </c>
      <c r="O363" t="b">
        <f t="shared" si="11"/>
        <v>1</v>
      </c>
    </row>
    <row r="364" spans="1:1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  <c r="N364" s="31">
        <f t="shared" si="10"/>
        <v>45977</v>
      </c>
      <c r="O364" t="b">
        <f t="shared" si="11"/>
        <v>1</v>
      </c>
    </row>
    <row r="365" spans="1:1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  <c r="N365" s="31">
        <f t="shared" si="10"/>
        <v>46021</v>
      </c>
      <c r="O365" t="b">
        <f t="shared" si="11"/>
        <v>1</v>
      </c>
    </row>
    <row r="366" spans="1:1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  <c r="N366" s="31">
        <f t="shared" si="10"/>
        <v>45729</v>
      </c>
      <c r="O366" t="b">
        <f t="shared" si="11"/>
        <v>1</v>
      </c>
    </row>
    <row r="367" spans="1:1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  <c r="N367" s="31">
        <f t="shared" si="10"/>
        <v>45907</v>
      </c>
      <c r="O367" t="b">
        <f t="shared" si="11"/>
        <v>1</v>
      </c>
    </row>
    <row r="368" spans="1:1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  <c r="N368" s="31">
        <f t="shared" si="10"/>
        <v>45814</v>
      </c>
      <c r="O368" t="b">
        <f t="shared" si="11"/>
        <v>1</v>
      </c>
    </row>
    <row r="369" spans="1:1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  <c r="N369" s="31">
        <f t="shared" si="10"/>
        <v>45820</v>
      </c>
      <c r="O369" t="b">
        <f t="shared" si="11"/>
        <v>1</v>
      </c>
    </row>
    <row r="370" spans="1:1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  <c r="N370" s="31">
        <f t="shared" si="10"/>
        <v>45683</v>
      </c>
      <c r="O370" t="b">
        <f t="shared" si="11"/>
        <v>1</v>
      </c>
    </row>
    <row r="371" spans="1:1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  <c r="N371" s="31">
        <f t="shared" si="10"/>
        <v>45925</v>
      </c>
      <c r="O371" t="b">
        <f t="shared" si="11"/>
        <v>1</v>
      </c>
    </row>
    <row r="372" spans="1:1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  <c r="N372" s="31">
        <f t="shared" si="10"/>
        <v>45823</v>
      </c>
      <c r="O372" t="b">
        <f t="shared" si="11"/>
        <v>1</v>
      </c>
    </row>
    <row r="373" spans="1:1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  <c r="N373" s="31">
        <f t="shared" si="10"/>
        <v>45812</v>
      </c>
      <c r="O373" t="b">
        <f t="shared" si="11"/>
        <v>1</v>
      </c>
    </row>
    <row r="374" spans="1:1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  <c r="N374" s="31">
        <f t="shared" si="10"/>
        <v>45675</v>
      </c>
      <c r="O374" t="b">
        <f t="shared" si="11"/>
        <v>1</v>
      </c>
    </row>
    <row r="375" spans="1:1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  <c r="N375" s="31">
        <f t="shared" si="10"/>
        <v>45783</v>
      </c>
      <c r="O375" t="b">
        <f t="shared" si="11"/>
        <v>1</v>
      </c>
    </row>
    <row r="376" spans="1:1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  <c r="N376" s="31">
        <f t="shared" si="10"/>
        <v>45716</v>
      </c>
      <c r="O376" t="b">
        <f t="shared" si="11"/>
        <v>1</v>
      </c>
    </row>
    <row r="377" spans="1:1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  <c r="N377" s="31">
        <f t="shared" si="10"/>
        <v>45955</v>
      </c>
      <c r="O377" t="b">
        <f t="shared" si="11"/>
        <v>1</v>
      </c>
    </row>
    <row r="378" spans="1:1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  <c r="N378" s="31">
        <f t="shared" si="10"/>
        <v>45929</v>
      </c>
      <c r="O378" t="b">
        <f t="shared" si="11"/>
        <v>1</v>
      </c>
    </row>
    <row r="379" spans="1:1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  <c r="N379" s="31">
        <f t="shared" si="10"/>
        <v>45775</v>
      </c>
      <c r="O379" t="b">
        <f t="shared" si="11"/>
        <v>1</v>
      </c>
    </row>
    <row r="380" spans="1:1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  <c r="N380" s="31">
        <f t="shared" si="10"/>
        <v>45751</v>
      </c>
      <c r="O380" t="b">
        <f t="shared" si="11"/>
        <v>1</v>
      </c>
    </row>
    <row r="381" spans="1:1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  <c r="N381" s="31">
        <f t="shared" si="10"/>
        <v>45815</v>
      </c>
      <c r="O381" t="b">
        <f t="shared" si="11"/>
        <v>1</v>
      </c>
    </row>
    <row r="382" spans="1:1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  <c r="N382" s="31">
        <f t="shared" si="10"/>
        <v>45946</v>
      </c>
      <c r="O382" t="b">
        <f t="shared" si="11"/>
        <v>1</v>
      </c>
    </row>
    <row r="383" spans="1:1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  <c r="N383" s="31">
        <f t="shared" si="10"/>
        <v>45894</v>
      </c>
      <c r="O383" t="b">
        <f t="shared" si="11"/>
        <v>1</v>
      </c>
    </row>
    <row r="384" spans="1:1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  <c r="N384" s="31">
        <f t="shared" si="10"/>
        <v>45945</v>
      </c>
      <c r="O384" t="b">
        <f t="shared" si="11"/>
        <v>1</v>
      </c>
    </row>
    <row r="385" spans="1:1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  <c r="N385" s="31">
        <f t="shared" si="10"/>
        <v>45985</v>
      </c>
      <c r="O385" t="b">
        <f t="shared" si="11"/>
        <v>1</v>
      </c>
    </row>
    <row r="386" spans="1:1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  <c r="N386" s="31">
        <f t="shared" si="10"/>
        <v>45838</v>
      </c>
      <c r="O386" t="b">
        <f t="shared" si="11"/>
        <v>1</v>
      </c>
    </row>
    <row r="387" spans="1:1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  <c r="N387" s="31">
        <f t="shared" ref="N387:N450" si="12">DATEVALUE(LEFT(B387,10))</f>
        <v>45825</v>
      </c>
      <c r="O387" t="b">
        <f t="shared" ref="O387:O450" si="13">ISNUMBER(N387)</f>
        <v>1</v>
      </c>
    </row>
    <row r="388" spans="1:1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  <c r="N388" s="31">
        <f t="shared" si="12"/>
        <v>45934</v>
      </c>
      <c r="O388" t="b">
        <f t="shared" si="13"/>
        <v>1</v>
      </c>
    </row>
    <row r="389" spans="1:1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  <c r="N389" s="31">
        <f t="shared" si="12"/>
        <v>45899</v>
      </c>
      <c r="O389" t="b">
        <f t="shared" si="13"/>
        <v>1</v>
      </c>
    </row>
    <row r="390" spans="1:1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  <c r="N390" s="31">
        <f t="shared" si="12"/>
        <v>45739</v>
      </c>
      <c r="O390" t="b">
        <f t="shared" si="13"/>
        <v>1</v>
      </c>
    </row>
    <row r="391" spans="1:1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  <c r="N391" s="31">
        <f t="shared" si="12"/>
        <v>45746</v>
      </c>
      <c r="O391" t="b">
        <f t="shared" si="13"/>
        <v>1</v>
      </c>
    </row>
    <row r="392" spans="1:1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  <c r="N392" s="31">
        <f t="shared" si="12"/>
        <v>45880</v>
      </c>
      <c r="O392" t="b">
        <f t="shared" si="13"/>
        <v>1</v>
      </c>
    </row>
    <row r="393" spans="1:1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  <c r="N393" s="31">
        <f t="shared" si="12"/>
        <v>45909</v>
      </c>
      <c r="O393" t="b">
        <f t="shared" si="13"/>
        <v>1</v>
      </c>
    </row>
    <row r="394" spans="1:1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  <c r="N394" s="31">
        <f t="shared" si="12"/>
        <v>45983</v>
      </c>
      <c r="O394" t="b">
        <f t="shared" si="13"/>
        <v>1</v>
      </c>
    </row>
    <row r="395" spans="1:1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  <c r="N395" s="31">
        <f t="shared" si="12"/>
        <v>45748</v>
      </c>
      <c r="O395" t="b">
        <f t="shared" si="13"/>
        <v>1</v>
      </c>
    </row>
    <row r="396" spans="1:1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  <c r="N396" s="31">
        <f t="shared" si="12"/>
        <v>45956</v>
      </c>
      <c r="O396" t="b">
        <f t="shared" si="13"/>
        <v>1</v>
      </c>
    </row>
    <row r="397" spans="1:1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  <c r="N397" s="31">
        <f t="shared" si="12"/>
        <v>45700</v>
      </c>
      <c r="O397" t="b">
        <f t="shared" si="13"/>
        <v>1</v>
      </c>
    </row>
    <row r="398" spans="1:1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  <c r="N398" s="31">
        <f t="shared" si="12"/>
        <v>45723</v>
      </c>
      <c r="O398" t="b">
        <f t="shared" si="13"/>
        <v>1</v>
      </c>
    </row>
    <row r="399" spans="1:1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  <c r="N399" s="31">
        <f t="shared" si="12"/>
        <v>45822</v>
      </c>
      <c r="O399" t="b">
        <f t="shared" si="13"/>
        <v>1</v>
      </c>
    </row>
    <row r="400" spans="1:1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  <c r="N400" s="31">
        <f t="shared" si="12"/>
        <v>45767</v>
      </c>
      <c r="O400" t="b">
        <f t="shared" si="13"/>
        <v>1</v>
      </c>
    </row>
    <row r="401" spans="1:1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  <c r="N401" s="31">
        <f t="shared" si="12"/>
        <v>45670</v>
      </c>
      <c r="O401" t="b">
        <f t="shared" si="13"/>
        <v>1</v>
      </c>
    </row>
    <row r="402" spans="1:1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  <c r="N402" s="31">
        <f t="shared" si="12"/>
        <v>45752</v>
      </c>
      <c r="O402" t="b">
        <f t="shared" si="13"/>
        <v>1</v>
      </c>
    </row>
    <row r="403" spans="1:1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  <c r="N403" s="31">
        <f t="shared" si="12"/>
        <v>45710</v>
      </c>
      <c r="O403" t="b">
        <f t="shared" si="13"/>
        <v>1</v>
      </c>
    </row>
    <row r="404" spans="1:1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  <c r="N404" s="31">
        <f t="shared" si="12"/>
        <v>45667</v>
      </c>
      <c r="O404" t="b">
        <f t="shared" si="13"/>
        <v>1</v>
      </c>
    </row>
    <row r="405" spans="1:1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  <c r="N405" s="31">
        <f t="shared" si="12"/>
        <v>45752</v>
      </c>
      <c r="O405" t="b">
        <f t="shared" si="13"/>
        <v>1</v>
      </c>
    </row>
    <row r="406" spans="1:1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  <c r="N406" s="31">
        <f t="shared" si="12"/>
        <v>45737</v>
      </c>
      <c r="O406" t="b">
        <f t="shared" si="13"/>
        <v>1</v>
      </c>
    </row>
    <row r="407" spans="1:1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  <c r="N407" s="31">
        <f t="shared" si="12"/>
        <v>45837</v>
      </c>
      <c r="O407" t="b">
        <f t="shared" si="13"/>
        <v>1</v>
      </c>
    </row>
    <row r="408" spans="1:1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  <c r="N408" s="31">
        <f t="shared" si="12"/>
        <v>45716</v>
      </c>
      <c r="O408" t="b">
        <f t="shared" si="13"/>
        <v>1</v>
      </c>
    </row>
    <row r="409" spans="1:1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  <c r="N409" s="31">
        <f t="shared" si="12"/>
        <v>45680</v>
      </c>
      <c r="O409" t="b">
        <f t="shared" si="13"/>
        <v>1</v>
      </c>
    </row>
    <row r="410" spans="1:1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  <c r="N410" s="31">
        <f t="shared" si="12"/>
        <v>45845</v>
      </c>
      <c r="O410" t="b">
        <f t="shared" si="13"/>
        <v>1</v>
      </c>
    </row>
    <row r="411" spans="1:1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  <c r="N411" s="31">
        <f t="shared" si="12"/>
        <v>45849</v>
      </c>
      <c r="O411" t="b">
        <f t="shared" si="13"/>
        <v>1</v>
      </c>
    </row>
    <row r="412" spans="1:1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  <c r="N412" s="31">
        <f t="shared" si="12"/>
        <v>46007</v>
      </c>
      <c r="O412" t="b">
        <f t="shared" si="13"/>
        <v>1</v>
      </c>
    </row>
    <row r="413" spans="1:1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  <c r="N413" s="31">
        <f t="shared" si="12"/>
        <v>45994</v>
      </c>
      <c r="O413" t="b">
        <f t="shared" si="13"/>
        <v>1</v>
      </c>
    </row>
    <row r="414" spans="1:1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  <c r="N414" s="31">
        <f t="shared" si="12"/>
        <v>45856</v>
      </c>
      <c r="O414" t="b">
        <f t="shared" si="13"/>
        <v>1</v>
      </c>
    </row>
    <row r="415" spans="1:1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  <c r="N415" s="31">
        <f t="shared" si="12"/>
        <v>45673</v>
      </c>
      <c r="O415" t="b">
        <f t="shared" si="13"/>
        <v>1</v>
      </c>
    </row>
    <row r="416" spans="1:1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  <c r="N416" s="31">
        <f t="shared" si="12"/>
        <v>45838</v>
      </c>
      <c r="O416" t="b">
        <f t="shared" si="13"/>
        <v>1</v>
      </c>
    </row>
    <row r="417" spans="1:1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  <c r="N417" s="31">
        <f t="shared" si="12"/>
        <v>45741</v>
      </c>
      <c r="O417" t="b">
        <f t="shared" si="13"/>
        <v>1</v>
      </c>
    </row>
    <row r="418" spans="1:1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  <c r="N418" s="31">
        <f t="shared" si="12"/>
        <v>45812</v>
      </c>
      <c r="O418" t="b">
        <f t="shared" si="13"/>
        <v>1</v>
      </c>
    </row>
    <row r="419" spans="1:1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  <c r="N419" s="31">
        <f t="shared" si="12"/>
        <v>45890</v>
      </c>
      <c r="O419" t="b">
        <f t="shared" si="13"/>
        <v>1</v>
      </c>
    </row>
    <row r="420" spans="1:1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  <c r="N420" s="31">
        <f t="shared" si="12"/>
        <v>45789</v>
      </c>
      <c r="O420" t="b">
        <f t="shared" si="13"/>
        <v>1</v>
      </c>
    </row>
    <row r="421" spans="1:1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  <c r="N421" s="31">
        <f t="shared" si="12"/>
        <v>45934</v>
      </c>
      <c r="O421" t="b">
        <f t="shared" si="13"/>
        <v>1</v>
      </c>
    </row>
    <row r="422" spans="1:1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  <c r="N422" s="31">
        <f t="shared" si="12"/>
        <v>46014</v>
      </c>
      <c r="O422" t="b">
        <f t="shared" si="13"/>
        <v>1</v>
      </c>
    </row>
    <row r="423" spans="1:1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  <c r="N423" s="31">
        <f t="shared" si="12"/>
        <v>45750</v>
      </c>
      <c r="O423" t="b">
        <f t="shared" si="13"/>
        <v>1</v>
      </c>
    </row>
    <row r="424" spans="1:1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  <c r="N424" s="31">
        <f t="shared" si="12"/>
        <v>45933</v>
      </c>
      <c r="O424" t="b">
        <f t="shared" si="13"/>
        <v>1</v>
      </c>
    </row>
    <row r="425" spans="1:1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  <c r="N425" s="31">
        <f t="shared" si="12"/>
        <v>45716</v>
      </c>
      <c r="O425" t="b">
        <f t="shared" si="13"/>
        <v>1</v>
      </c>
    </row>
    <row r="426" spans="1:1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  <c r="N426" s="31">
        <f t="shared" si="12"/>
        <v>45829</v>
      </c>
      <c r="O426" t="b">
        <f t="shared" si="13"/>
        <v>1</v>
      </c>
    </row>
    <row r="427" spans="1:1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  <c r="N427" s="31">
        <f t="shared" si="12"/>
        <v>45808</v>
      </c>
      <c r="O427" t="b">
        <f t="shared" si="13"/>
        <v>1</v>
      </c>
    </row>
    <row r="428" spans="1:1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  <c r="N428" s="31">
        <f t="shared" si="12"/>
        <v>45702</v>
      </c>
      <c r="O428" t="b">
        <f t="shared" si="13"/>
        <v>1</v>
      </c>
    </row>
    <row r="429" spans="1:1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  <c r="N429" s="31">
        <f t="shared" si="12"/>
        <v>45877</v>
      </c>
      <c r="O429" t="b">
        <f t="shared" si="13"/>
        <v>1</v>
      </c>
    </row>
    <row r="430" spans="1:1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  <c r="N430" s="31">
        <f t="shared" si="12"/>
        <v>45954</v>
      </c>
      <c r="O430" t="b">
        <f t="shared" si="13"/>
        <v>1</v>
      </c>
    </row>
    <row r="431" spans="1:1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  <c r="N431" s="31">
        <f t="shared" si="12"/>
        <v>45859</v>
      </c>
      <c r="O431" t="b">
        <f t="shared" si="13"/>
        <v>1</v>
      </c>
    </row>
    <row r="432" spans="1:1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  <c r="N432" s="31">
        <f t="shared" si="12"/>
        <v>45692</v>
      </c>
      <c r="O432" t="b">
        <f t="shared" si="13"/>
        <v>1</v>
      </c>
    </row>
    <row r="433" spans="1:1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  <c r="N433" s="31">
        <f t="shared" si="12"/>
        <v>45788</v>
      </c>
      <c r="O433" t="b">
        <f t="shared" si="13"/>
        <v>1</v>
      </c>
    </row>
    <row r="434" spans="1:1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  <c r="N434" s="31">
        <f t="shared" si="12"/>
        <v>45818</v>
      </c>
      <c r="O434" t="b">
        <f t="shared" si="13"/>
        <v>1</v>
      </c>
    </row>
    <row r="435" spans="1:1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  <c r="N435" s="31">
        <f t="shared" si="12"/>
        <v>45662</v>
      </c>
      <c r="O435" t="b">
        <f t="shared" si="13"/>
        <v>1</v>
      </c>
    </row>
    <row r="436" spans="1:1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  <c r="N436" s="31">
        <f t="shared" si="12"/>
        <v>45805</v>
      </c>
      <c r="O436" t="b">
        <f t="shared" si="13"/>
        <v>1</v>
      </c>
    </row>
    <row r="437" spans="1:1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  <c r="N437" s="31">
        <f t="shared" si="12"/>
        <v>45870</v>
      </c>
      <c r="O437" t="b">
        <f t="shared" si="13"/>
        <v>1</v>
      </c>
    </row>
    <row r="438" spans="1:1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  <c r="N438" s="31">
        <f t="shared" si="12"/>
        <v>45990</v>
      </c>
      <c r="O438" t="b">
        <f t="shared" si="13"/>
        <v>1</v>
      </c>
    </row>
    <row r="439" spans="1:1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  <c r="N439" s="31">
        <f t="shared" si="12"/>
        <v>46004</v>
      </c>
      <c r="O439" t="b">
        <f t="shared" si="13"/>
        <v>1</v>
      </c>
    </row>
    <row r="440" spans="1:1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  <c r="N440" s="31">
        <f t="shared" si="12"/>
        <v>45803</v>
      </c>
      <c r="O440" t="b">
        <f t="shared" si="13"/>
        <v>1</v>
      </c>
    </row>
    <row r="441" spans="1:1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  <c r="N441" s="31">
        <f t="shared" si="12"/>
        <v>45679</v>
      </c>
      <c r="O441" t="b">
        <f t="shared" si="13"/>
        <v>1</v>
      </c>
    </row>
    <row r="442" spans="1:1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  <c r="N442" s="31">
        <f t="shared" si="12"/>
        <v>45899</v>
      </c>
      <c r="O442" t="b">
        <f t="shared" si="13"/>
        <v>1</v>
      </c>
    </row>
    <row r="443" spans="1:1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  <c r="N443" s="31">
        <f t="shared" si="12"/>
        <v>45862</v>
      </c>
      <c r="O443" t="b">
        <f t="shared" si="13"/>
        <v>1</v>
      </c>
    </row>
    <row r="444" spans="1:1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  <c r="N444" s="31">
        <f t="shared" si="12"/>
        <v>45931</v>
      </c>
      <c r="O444" t="b">
        <f t="shared" si="13"/>
        <v>1</v>
      </c>
    </row>
    <row r="445" spans="1:1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  <c r="N445" s="31">
        <f t="shared" si="12"/>
        <v>45824</v>
      </c>
      <c r="O445" t="b">
        <f t="shared" si="13"/>
        <v>1</v>
      </c>
    </row>
    <row r="446" spans="1:1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  <c r="N446" s="31">
        <f t="shared" si="12"/>
        <v>45711</v>
      </c>
      <c r="O446" t="b">
        <f t="shared" si="13"/>
        <v>1</v>
      </c>
    </row>
    <row r="447" spans="1:1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  <c r="N447" s="31">
        <f t="shared" si="12"/>
        <v>45716</v>
      </c>
      <c r="O447" t="b">
        <f t="shared" si="13"/>
        <v>1</v>
      </c>
    </row>
    <row r="448" spans="1:1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  <c r="N448" s="31">
        <f t="shared" si="12"/>
        <v>45696</v>
      </c>
      <c r="O448" t="b">
        <f t="shared" si="13"/>
        <v>1</v>
      </c>
    </row>
    <row r="449" spans="1:1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  <c r="N449" s="31">
        <f t="shared" si="12"/>
        <v>45690</v>
      </c>
      <c r="O449" t="b">
        <f t="shared" si="13"/>
        <v>1</v>
      </c>
    </row>
    <row r="450" spans="1:1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  <c r="N450" s="31">
        <f t="shared" si="12"/>
        <v>45701</v>
      </c>
      <c r="O450" t="b">
        <f t="shared" si="13"/>
        <v>1</v>
      </c>
    </row>
    <row r="451" spans="1:1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  <c r="N451" s="31">
        <f t="shared" ref="N451:N514" si="14">DATEVALUE(LEFT(B451,10))</f>
        <v>45716</v>
      </c>
      <c r="O451" t="b">
        <f t="shared" ref="O451:O514" si="15">ISNUMBER(N451)</f>
        <v>1</v>
      </c>
    </row>
    <row r="452" spans="1:1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  <c r="N452" s="31">
        <f t="shared" si="14"/>
        <v>45679</v>
      </c>
      <c r="O452" t="b">
        <f t="shared" si="15"/>
        <v>1</v>
      </c>
    </row>
    <row r="453" spans="1:1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  <c r="N453" s="31">
        <f t="shared" si="14"/>
        <v>45899</v>
      </c>
      <c r="O453" t="b">
        <f t="shared" si="15"/>
        <v>1</v>
      </c>
    </row>
    <row r="454" spans="1:1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  <c r="N454" s="31">
        <f t="shared" si="14"/>
        <v>45915</v>
      </c>
      <c r="O454" t="b">
        <f t="shared" si="15"/>
        <v>1</v>
      </c>
    </row>
    <row r="455" spans="1:1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  <c r="N455" s="31">
        <f t="shared" si="14"/>
        <v>45879</v>
      </c>
      <c r="O455" t="b">
        <f t="shared" si="15"/>
        <v>1</v>
      </c>
    </row>
    <row r="456" spans="1:1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  <c r="N456" s="31">
        <f t="shared" si="14"/>
        <v>45763</v>
      </c>
      <c r="O456" t="b">
        <f t="shared" si="15"/>
        <v>1</v>
      </c>
    </row>
    <row r="457" spans="1:1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  <c r="N457" s="31">
        <f t="shared" si="14"/>
        <v>45705</v>
      </c>
      <c r="O457" t="b">
        <f t="shared" si="15"/>
        <v>1</v>
      </c>
    </row>
    <row r="458" spans="1:1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  <c r="N458" s="31">
        <f t="shared" si="14"/>
        <v>45736</v>
      </c>
      <c r="O458" t="b">
        <f t="shared" si="15"/>
        <v>1</v>
      </c>
    </row>
    <row r="459" spans="1:1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  <c r="N459" s="31">
        <f t="shared" si="14"/>
        <v>45775</v>
      </c>
      <c r="O459" t="b">
        <f t="shared" si="15"/>
        <v>1</v>
      </c>
    </row>
    <row r="460" spans="1:1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  <c r="N460" s="31">
        <f t="shared" si="14"/>
        <v>45764</v>
      </c>
      <c r="O460" t="b">
        <f t="shared" si="15"/>
        <v>1</v>
      </c>
    </row>
    <row r="461" spans="1:1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  <c r="N461" s="31">
        <f t="shared" si="14"/>
        <v>45849</v>
      </c>
      <c r="O461" t="b">
        <f t="shared" si="15"/>
        <v>1</v>
      </c>
    </row>
    <row r="462" spans="1:1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  <c r="N462" s="31">
        <f t="shared" si="14"/>
        <v>45738</v>
      </c>
      <c r="O462" t="b">
        <f t="shared" si="15"/>
        <v>1</v>
      </c>
    </row>
    <row r="463" spans="1:1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  <c r="N463" s="31">
        <f t="shared" si="14"/>
        <v>45772</v>
      </c>
      <c r="O463" t="b">
        <f t="shared" si="15"/>
        <v>1</v>
      </c>
    </row>
    <row r="464" spans="1:1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  <c r="N464" s="31">
        <f t="shared" si="14"/>
        <v>45917</v>
      </c>
      <c r="O464" t="b">
        <f t="shared" si="15"/>
        <v>1</v>
      </c>
    </row>
    <row r="465" spans="1:1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  <c r="N465" s="31">
        <f t="shared" si="14"/>
        <v>45868</v>
      </c>
      <c r="O465" t="b">
        <f t="shared" si="15"/>
        <v>1</v>
      </c>
    </row>
    <row r="466" spans="1:1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  <c r="N466" s="31">
        <f t="shared" si="14"/>
        <v>45894</v>
      </c>
      <c r="O466" t="b">
        <f t="shared" si="15"/>
        <v>1</v>
      </c>
    </row>
    <row r="467" spans="1:1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  <c r="N467" s="31">
        <f t="shared" si="14"/>
        <v>45804</v>
      </c>
      <c r="O467" t="b">
        <f t="shared" si="15"/>
        <v>1</v>
      </c>
    </row>
    <row r="468" spans="1:1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  <c r="N468" s="31">
        <f t="shared" si="14"/>
        <v>46014</v>
      </c>
      <c r="O468" t="b">
        <f t="shared" si="15"/>
        <v>1</v>
      </c>
    </row>
    <row r="469" spans="1:1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  <c r="N469" s="31">
        <f t="shared" si="14"/>
        <v>45762</v>
      </c>
      <c r="O469" t="b">
        <f t="shared" si="15"/>
        <v>1</v>
      </c>
    </row>
    <row r="470" spans="1:1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  <c r="N470" s="31">
        <f t="shared" si="14"/>
        <v>45782</v>
      </c>
      <c r="O470" t="b">
        <f t="shared" si="15"/>
        <v>1</v>
      </c>
    </row>
    <row r="471" spans="1:1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  <c r="N471" s="31">
        <f t="shared" si="14"/>
        <v>45979</v>
      </c>
      <c r="O471" t="b">
        <f t="shared" si="15"/>
        <v>1</v>
      </c>
    </row>
    <row r="472" spans="1:1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  <c r="N472" s="31">
        <f t="shared" si="14"/>
        <v>45735</v>
      </c>
      <c r="O472" t="b">
        <f t="shared" si="15"/>
        <v>1</v>
      </c>
    </row>
    <row r="473" spans="1:1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  <c r="N473" s="31">
        <f t="shared" si="14"/>
        <v>45711</v>
      </c>
      <c r="O473" t="b">
        <f t="shared" si="15"/>
        <v>1</v>
      </c>
    </row>
    <row r="474" spans="1:1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  <c r="N474" s="31">
        <f t="shared" si="14"/>
        <v>45999</v>
      </c>
      <c r="O474" t="b">
        <f t="shared" si="15"/>
        <v>1</v>
      </c>
    </row>
    <row r="475" spans="1:1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  <c r="N475" s="31">
        <f t="shared" si="14"/>
        <v>45862</v>
      </c>
      <c r="O475" t="b">
        <f t="shared" si="15"/>
        <v>1</v>
      </c>
    </row>
    <row r="476" spans="1:1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  <c r="N476" s="31">
        <f t="shared" si="14"/>
        <v>45891</v>
      </c>
      <c r="O476" t="b">
        <f t="shared" si="15"/>
        <v>1</v>
      </c>
    </row>
    <row r="477" spans="1:1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  <c r="N477" s="31">
        <f t="shared" si="14"/>
        <v>45804</v>
      </c>
      <c r="O477" t="b">
        <f t="shared" si="15"/>
        <v>1</v>
      </c>
    </row>
    <row r="478" spans="1:1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  <c r="N478" s="31">
        <f t="shared" si="14"/>
        <v>45939</v>
      </c>
      <c r="O478" t="b">
        <f t="shared" si="15"/>
        <v>1</v>
      </c>
    </row>
    <row r="479" spans="1:1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  <c r="N479" s="31">
        <f t="shared" si="14"/>
        <v>45891</v>
      </c>
      <c r="O479" t="b">
        <f t="shared" si="15"/>
        <v>1</v>
      </c>
    </row>
    <row r="480" spans="1:1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  <c r="N480" s="31">
        <f t="shared" si="14"/>
        <v>45983</v>
      </c>
      <c r="O480" t="b">
        <f t="shared" si="15"/>
        <v>1</v>
      </c>
    </row>
    <row r="481" spans="1:1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  <c r="N481" s="31">
        <f t="shared" si="14"/>
        <v>45895</v>
      </c>
      <c r="O481" t="b">
        <f t="shared" si="15"/>
        <v>1</v>
      </c>
    </row>
    <row r="482" spans="1:1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  <c r="N482" s="31">
        <f t="shared" si="14"/>
        <v>45664</v>
      </c>
      <c r="O482" t="b">
        <f t="shared" si="15"/>
        <v>1</v>
      </c>
    </row>
    <row r="483" spans="1:1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  <c r="N483" s="31">
        <f t="shared" si="14"/>
        <v>45704</v>
      </c>
      <c r="O483" t="b">
        <f t="shared" si="15"/>
        <v>1</v>
      </c>
    </row>
    <row r="484" spans="1:1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  <c r="N484" s="31">
        <f t="shared" si="14"/>
        <v>45832</v>
      </c>
      <c r="O484" t="b">
        <f t="shared" si="15"/>
        <v>1</v>
      </c>
    </row>
    <row r="485" spans="1:1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  <c r="N485" s="31">
        <f t="shared" si="14"/>
        <v>46016</v>
      </c>
      <c r="O485" t="b">
        <f t="shared" si="15"/>
        <v>1</v>
      </c>
    </row>
    <row r="486" spans="1:1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  <c r="N486" s="31">
        <f t="shared" si="14"/>
        <v>45976</v>
      </c>
      <c r="O486" t="b">
        <f t="shared" si="15"/>
        <v>1</v>
      </c>
    </row>
    <row r="487" spans="1:1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  <c r="N487" s="31">
        <f t="shared" si="14"/>
        <v>45893</v>
      </c>
      <c r="O487" t="b">
        <f t="shared" si="15"/>
        <v>1</v>
      </c>
    </row>
    <row r="488" spans="1:1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  <c r="N488" s="31">
        <f t="shared" si="14"/>
        <v>45710</v>
      </c>
      <c r="O488" t="b">
        <f t="shared" si="15"/>
        <v>1</v>
      </c>
    </row>
    <row r="489" spans="1:1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  <c r="N489" s="31">
        <f t="shared" si="14"/>
        <v>45893</v>
      </c>
      <c r="O489" t="b">
        <f t="shared" si="15"/>
        <v>1</v>
      </c>
    </row>
    <row r="490" spans="1:1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  <c r="N490" s="31">
        <f t="shared" si="14"/>
        <v>45763</v>
      </c>
      <c r="O490" t="b">
        <f t="shared" si="15"/>
        <v>1</v>
      </c>
    </row>
    <row r="491" spans="1:1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  <c r="N491" s="31">
        <f t="shared" si="14"/>
        <v>45765</v>
      </c>
      <c r="O491" t="b">
        <f t="shared" si="15"/>
        <v>1</v>
      </c>
    </row>
    <row r="492" spans="1:1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  <c r="N492" s="31">
        <f t="shared" si="14"/>
        <v>45737</v>
      </c>
      <c r="O492" t="b">
        <f t="shared" si="15"/>
        <v>1</v>
      </c>
    </row>
    <row r="493" spans="1:1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  <c r="N493" s="31">
        <f t="shared" si="14"/>
        <v>46019</v>
      </c>
      <c r="O493" t="b">
        <f t="shared" si="15"/>
        <v>1</v>
      </c>
    </row>
    <row r="494" spans="1:1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  <c r="N494" s="31">
        <f t="shared" si="14"/>
        <v>45806</v>
      </c>
      <c r="O494" t="b">
        <f t="shared" si="15"/>
        <v>1</v>
      </c>
    </row>
    <row r="495" spans="1:1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  <c r="N495" s="31">
        <f t="shared" si="14"/>
        <v>45866</v>
      </c>
      <c r="O495" t="b">
        <f t="shared" si="15"/>
        <v>1</v>
      </c>
    </row>
    <row r="496" spans="1:1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  <c r="N496" s="31">
        <f t="shared" si="14"/>
        <v>45806</v>
      </c>
      <c r="O496" t="b">
        <f t="shared" si="15"/>
        <v>1</v>
      </c>
    </row>
    <row r="497" spans="1:1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  <c r="N497" s="31">
        <f t="shared" si="14"/>
        <v>45754</v>
      </c>
      <c r="O497" t="b">
        <f t="shared" si="15"/>
        <v>1</v>
      </c>
    </row>
    <row r="498" spans="1:1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  <c r="N498" s="31">
        <f t="shared" si="14"/>
        <v>46022</v>
      </c>
      <c r="O498" t="b">
        <f t="shared" si="15"/>
        <v>1</v>
      </c>
    </row>
    <row r="499" spans="1:1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  <c r="N499" s="31">
        <f t="shared" si="14"/>
        <v>45893</v>
      </c>
      <c r="O499" t="b">
        <f t="shared" si="15"/>
        <v>1</v>
      </c>
    </row>
    <row r="500" spans="1:1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  <c r="N500" s="31">
        <f t="shared" si="14"/>
        <v>45834</v>
      </c>
      <c r="O500" t="b">
        <f t="shared" si="15"/>
        <v>1</v>
      </c>
    </row>
    <row r="501" spans="1:1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  <c r="N501" s="31">
        <f t="shared" si="14"/>
        <v>45826</v>
      </c>
      <c r="O501" t="b">
        <f t="shared" si="15"/>
        <v>1</v>
      </c>
    </row>
    <row r="502" spans="1:1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  <c r="N502" s="31">
        <f t="shared" si="14"/>
        <v>45998</v>
      </c>
      <c r="O502" t="b">
        <f t="shared" si="15"/>
        <v>1</v>
      </c>
    </row>
    <row r="503" spans="1:1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  <c r="N503" s="31">
        <f t="shared" si="14"/>
        <v>45777</v>
      </c>
      <c r="O503" t="b">
        <f t="shared" si="15"/>
        <v>1</v>
      </c>
    </row>
    <row r="504" spans="1:1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  <c r="N504" s="31">
        <f t="shared" si="14"/>
        <v>45853</v>
      </c>
      <c r="O504" t="b">
        <f t="shared" si="15"/>
        <v>1</v>
      </c>
    </row>
    <row r="505" spans="1:1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  <c r="N505" s="31">
        <f t="shared" si="14"/>
        <v>45906</v>
      </c>
      <c r="O505" t="b">
        <f t="shared" si="15"/>
        <v>1</v>
      </c>
    </row>
    <row r="506" spans="1:1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  <c r="N506" s="31">
        <f t="shared" si="14"/>
        <v>45810</v>
      </c>
      <c r="O506" t="b">
        <f t="shared" si="15"/>
        <v>1</v>
      </c>
    </row>
    <row r="507" spans="1:1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  <c r="N507" s="31">
        <f t="shared" si="14"/>
        <v>45967</v>
      </c>
      <c r="O507" t="b">
        <f t="shared" si="15"/>
        <v>1</v>
      </c>
    </row>
    <row r="508" spans="1:1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  <c r="N508" s="31">
        <f t="shared" si="14"/>
        <v>45724</v>
      </c>
      <c r="O508" t="b">
        <f t="shared" si="15"/>
        <v>1</v>
      </c>
    </row>
    <row r="509" spans="1:1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  <c r="N509" s="31">
        <f t="shared" si="14"/>
        <v>45894</v>
      </c>
      <c r="O509" t="b">
        <f t="shared" si="15"/>
        <v>1</v>
      </c>
    </row>
    <row r="510" spans="1:1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  <c r="N510" s="31">
        <f t="shared" si="14"/>
        <v>45768</v>
      </c>
      <c r="O510" t="b">
        <f t="shared" si="15"/>
        <v>1</v>
      </c>
    </row>
    <row r="511" spans="1:1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  <c r="N511" s="31">
        <f t="shared" si="14"/>
        <v>45952</v>
      </c>
      <c r="O511" t="b">
        <f t="shared" si="15"/>
        <v>1</v>
      </c>
    </row>
    <row r="512" spans="1:1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  <c r="N512" s="31">
        <f t="shared" si="14"/>
        <v>45959</v>
      </c>
      <c r="O512" t="b">
        <f t="shared" si="15"/>
        <v>1</v>
      </c>
    </row>
    <row r="513" spans="1:1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  <c r="N513" s="31">
        <f t="shared" si="14"/>
        <v>45954</v>
      </c>
      <c r="O513" t="b">
        <f t="shared" si="15"/>
        <v>1</v>
      </c>
    </row>
    <row r="514" spans="1:1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  <c r="N514" s="31">
        <f t="shared" si="14"/>
        <v>45878</v>
      </c>
      <c r="O514" t="b">
        <f t="shared" si="15"/>
        <v>1</v>
      </c>
    </row>
    <row r="515" spans="1:1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  <c r="N515" s="31">
        <f t="shared" ref="N515:N578" si="16">DATEVALUE(LEFT(B515,10))</f>
        <v>45700</v>
      </c>
      <c r="O515" t="b">
        <f t="shared" ref="O515:O578" si="17">ISNUMBER(N515)</f>
        <v>1</v>
      </c>
    </row>
    <row r="516" spans="1:1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  <c r="N516" s="31">
        <f t="shared" si="16"/>
        <v>45789</v>
      </c>
      <c r="O516" t="b">
        <f t="shared" si="17"/>
        <v>1</v>
      </c>
    </row>
    <row r="517" spans="1:1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  <c r="N517" s="31">
        <f t="shared" si="16"/>
        <v>45786</v>
      </c>
      <c r="O517" t="b">
        <f t="shared" si="17"/>
        <v>1</v>
      </c>
    </row>
    <row r="518" spans="1:1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  <c r="N518" s="31">
        <f t="shared" si="16"/>
        <v>46007</v>
      </c>
      <c r="O518" t="b">
        <f t="shared" si="17"/>
        <v>1</v>
      </c>
    </row>
    <row r="519" spans="1:1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  <c r="N519" s="31">
        <f t="shared" si="16"/>
        <v>46010</v>
      </c>
      <c r="O519" t="b">
        <f t="shared" si="17"/>
        <v>1</v>
      </c>
    </row>
    <row r="520" spans="1:1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  <c r="N520" s="31">
        <f t="shared" si="16"/>
        <v>45970</v>
      </c>
      <c r="O520" t="b">
        <f t="shared" si="17"/>
        <v>1</v>
      </c>
    </row>
    <row r="521" spans="1:1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  <c r="N521" s="31">
        <f t="shared" si="16"/>
        <v>45953</v>
      </c>
      <c r="O521" t="b">
        <f t="shared" si="17"/>
        <v>1</v>
      </c>
    </row>
    <row r="522" spans="1:1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  <c r="N522" s="31">
        <f t="shared" si="16"/>
        <v>45771</v>
      </c>
      <c r="O522" t="b">
        <f t="shared" si="17"/>
        <v>1</v>
      </c>
    </row>
    <row r="523" spans="1:1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  <c r="N523" s="31">
        <f t="shared" si="16"/>
        <v>45843</v>
      </c>
      <c r="O523" t="b">
        <f t="shared" si="17"/>
        <v>1</v>
      </c>
    </row>
    <row r="524" spans="1:1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  <c r="N524" s="31">
        <f t="shared" si="16"/>
        <v>45698</v>
      </c>
      <c r="O524" t="b">
        <f t="shared" si="17"/>
        <v>1</v>
      </c>
    </row>
    <row r="525" spans="1:1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  <c r="N525" s="31">
        <f t="shared" si="16"/>
        <v>46022</v>
      </c>
      <c r="O525" t="b">
        <f t="shared" si="17"/>
        <v>1</v>
      </c>
    </row>
    <row r="526" spans="1:1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  <c r="N526" s="31">
        <f t="shared" si="16"/>
        <v>45702</v>
      </c>
      <c r="O526" t="b">
        <f t="shared" si="17"/>
        <v>1</v>
      </c>
    </row>
    <row r="527" spans="1:1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  <c r="N527" s="31">
        <f t="shared" si="16"/>
        <v>45743</v>
      </c>
      <c r="O527" t="b">
        <f t="shared" si="17"/>
        <v>1</v>
      </c>
    </row>
    <row r="528" spans="1:1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  <c r="N528" s="31">
        <f t="shared" si="16"/>
        <v>45867</v>
      </c>
      <c r="O528" t="b">
        <f t="shared" si="17"/>
        <v>1</v>
      </c>
    </row>
    <row r="529" spans="1:1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  <c r="N529" s="31">
        <f t="shared" si="16"/>
        <v>45908</v>
      </c>
      <c r="O529" t="b">
        <f t="shared" si="17"/>
        <v>1</v>
      </c>
    </row>
    <row r="530" spans="1:1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  <c r="N530" s="31">
        <f t="shared" si="16"/>
        <v>46009</v>
      </c>
      <c r="O530" t="b">
        <f t="shared" si="17"/>
        <v>1</v>
      </c>
    </row>
    <row r="531" spans="1:1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  <c r="N531" s="31">
        <f t="shared" si="16"/>
        <v>45792</v>
      </c>
      <c r="O531" t="b">
        <f t="shared" si="17"/>
        <v>1</v>
      </c>
    </row>
    <row r="532" spans="1:1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  <c r="N532" s="31">
        <f t="shared" si="16"/>
        <v>45920</v>
      </c>
      <c r="O532" t="b">
        <f t="shared" si="17"/>
        <v>1</v>
      </c>
    </row>
    <row r="533" spans="1:1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  <c r="N533" s="31">
        <f t="shared" si="16"/>
        <v>45816</v>
      </c>
      <c r="O533" t="b">
        <f t="shared" si="17"/>
        <v>1</v>
      </c>
    </row>
    <row r="534" spans="1:1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  <c r="N534" s="31">
        <f t="shared" si="16"/>
        <v>45854</v>
      </c>
      <c r="O534" t="b">
        <f t="shared" si="17"/>
        <v>1</v>
      </c>
    </row>
    <row r="535" spans="1:1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  <c r="N535" s="31">
        <f t="shared" si="16"/>
        <v>45752</v>
      </c>
      <c r="O535" t="b">
        <f t="shared" si="17"/>
        <v>1</v>
      </c>
    </row>
    <row r="536" spans="1:1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  <c r="N536" s="31">
        <f t="shared" si="16"/>
        <v>46005</v>
      </c>
      <c r="O536" t="b">
        <f t="shared" si="17"/>
        <v>1</v>
      </c>
    </row>
    <row r="537" spans="1:1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  <c r="N537" s="31">
        <f t="shared" si="16"/>
        <v>45687</v>
      </c>
      <c r="O537" t="b">
        <f t="shared" si="17"/>
        <v>1</v>
      </c>
    </row>
    <row r="538" spans="1:1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  <c r="N538" s="31">
        <f t="shared" si="16"/>
        <v>45878</v>
      </c>
      <c r="O538" t="b">
        <f t="shared" si="17"/>
        <v>1</v>
      </c>
    </row>
    <row r="539" spans="1:1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  <c r="N539" s="31">
        <f t="shared" si="16"/>
        <v>45947</v>
      </c>
      <c r="O539" t="b">
        <f t="shared" si="17"/>
        <v>1</v>
      </c>
    </row>
    <row r="540" spans="1:1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  <c r="N540" s="31">
        <f t="shared" si="16"/>
        <v>45820</v>
      </c>
      <c r="O540" t="b">
        <f t="shared" si="17"/>
        <v>1</v>
      </c>
    </row>
    <row r="541" spans="1:1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  <c r="N541" s="31">
        <f t="shared" si="16"/>
        <v>45978</v>
      </c>
      <c r="O541" t="b">
        <f t="shared" si="17"/>
        <v>1</v>
      </c>
    </row>
    <row r="542" spans="1:1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  <c r="N542" s="31">
        <f t="shared" si="16"/>
        <v>45916</v>
      </c>
      <c r="O542" t="b">
        <f t="shared" si="17"/>
        <v>1</v>
      </c>
    </row>
    <row r="543" spans="1:1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  <c r="N543" s="31">
        <f t="shared" si="16"/>
        <v>45838</v>
      </c>
      <c r="O543" t="b">
        <f t="shared" si="17"/>
        <v>1</v>
      </c>
    </row>
    <row r="544" spans="1:1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  <c r="N544" s="31">
        <f t="shared" si="16"/>
        <v>45982</v>
      </c>
      <c r="O544" t="b">
        <f t="shared" si="17"/>
        <v>1</v>
      </c>
    </row>
    <row r="545" spans="1:1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  <c r="N545" s="31">
        <f t="shared" si="16"/>
        <v>45707</v>
      </c>
      <c r="O545" t="b">
        <f t="shared" si="17"/>
        <v>1</v>
      </c>
    </row>
    <row r="546" spans="1:1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  <c r="N546" s="31">
        <f t="shared" si="16"/>
        <v>45712</v>
      </c>
      <c r="O546" t="b">
        <f t="shared" si="17"/>
        <v>1</v>
      </c>
    </row>
    <row r="547" spans="1:1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  <c r="N547" s="31">
        <f t="shared" si="16"/>
        <v>46016</v>
      </c>
      <c r="O547" t="b">
        <f t="shared" si="17"/>
        <v>1</v>
      </c>
    </row>
    <row r="548" spans="1:1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  <c r="N548" s="31">
        <f t="shared" si="16"/>
        <v>46001</v>
      </c>
      <c r="O548" t="b">
        <f t="shared" si="17"/>
        <v>1</v>
      </c>
    </row>
    <row r="549" spans="1:1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  <c r="N549" s="31">
        <f t="shared" si="16"/>
        <v>45808</v>
      </c>
      <c r="O549" t="b">
        <f t="shared" si="17"/>
        <v>1</v>
      </c>
    </row>
    <row r="550" spans="1:1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  <c r="N550" s="31">
        <f t="shared" si="16"/>
        <v>45743</v>
      </c>
      <c r="O550" t="b">
        <f t="shared" si="17"/>
        <v>1</v>
      </c>
    </row>
    <row r="551" spans="1:1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  <c r="N551" s="31">
        <f t="shared" si="16"/>
        <v>45926</v>
      </c>
      <c r="O551" t="b">
        <f t="shared" si="17"/>
        <v>1</v>
      </c>
    </row>
    <row r="552" spans="1:1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  <c r="N552" s="31">
        <f t="shared" si="16"/>
        <v>45816</v>
      </c>
      <c r="O552" t="b">
        <f t="shared" si="17"/>
        <v>1</v>
      </c>
    </row>
    <row r="553" spans="1:1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  <c r="N553" s="31">
        <f t="shared" si="16"/>
        <v>46016</v>
      </c>
      <c r="O553" t="b">
        <f t="shared" si="17"/>
        <v>1</v>
      </c>
    </row>
    <row r="554" spans="1:1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  <c r="N554" s="31">
        <f t="shared" si="16"/>
        <v>45841</v>
      </c>
      <c r="O554" t="b">
        <f t="shared" si="17"/>
        <v>1</v>
      </c>
    </row>
    <row r="555" spans="1:1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  <c r="N555" s="31">
        <f t="shared" si="16"/>
        <v>45685</v>
      </c>
      <c r="O555" t="b">
        <f t="shared" si="17"/>
        <v>1</v>
      </c>
    </row>
    <row r="556" spans="1:1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  <c r="N556" s="31">
        <f t="shared" si="16"/>
        <v>46000</v>
      </c>
      <c r="O556" t="b">
        <f t="shared" si="17"/>
        <v>1</v>
      </c>
    </row>
    <row r="557" spans="1:1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  <c r="N557" s="31">
        <f t="shared" si="16"/>
        <v>45721</v>
      </c>
      <c r="O557" t="b">
        <f t="shared" si="17"/>
        <v>1</v>
      </c>
    </row>
    <row r="558" spans="1:1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  <c r="N558" s="31">
        <f t="shared" si="16"/>
        <v>45932</v>
      </c>
      <c r="O558" t="b">
        <f t="shared" si="17"/>
        <v>1</v>
      </c>
    </row>
    <row r="559" spans="1:1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  <c r="N559" s="31">
        <f t="shared" si="16"/>
        <v>45786</v>
      </c>
      <c r="O559" t="b">
        <f t="shared" si="17"/>
        <v>1</v>
      </c>
    </row>
    <row r="560" spans="1:1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  <c r="N560" s="31">
        <f t="shared" si="16"/>
        <v>45952</v>
      </c>
      <c r="O560" t="b">
        <f t="shared" si="17"/>
        <v>1</v>
      </c>
    </row>
    <row r="561" spans="1:1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  <c r="N561" s="31">
        <f t="shared" si="16"/>
        <v>45668</v>
      </c>
      <c r="O561" t="b">
        <f t="shared" si="17"/>
        <v>1</v>
      </c>
    </row>
    <row r="562" spans="1:1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  <c r="N562" s="31">
        <f t="shared" si="16"/>
        <v>45907</v>
      </c>
      <c r="O562" t="b">
        <f t="shared" si="17"/>
        <v>1</v>
      </c>
    </row>
    <row r="563" spans="1:1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  <c r="N563" s="31">
        <f t="shared" si="16"/>
        <v>46020</v>
      </c>
      <c r="O563" t="b">
        <f t="shared" si="17"/>
        <v>1</v>
      </c>
    </row>
    <row r="564" spans="1:1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  <c r="N564" s="31">
        <f t="shared" si="16"/>
        <v>45732</v>
      </c>
      <c r="O564" t="b">
        <f t="shared" si="17"/>
        <v>1</v>
      </c>
    </row>
    <row r="565" spans="1:1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  <c r="N565" s="31">
        <f t="shared" si="16"/>
        <v>45942</v>
      </c>
      <c r="O565" t="b">
        <f t="shared" si="17"/>
        <v>1</v>
      </c>
    </row>
    <row r="566" spans="1:1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  <c r="N566" s="31">
        <f t="shared" si="16"/>
        <v>45953</v>
      </c>
      <c r="O566" t="b">
        <f t="shared" si="17"/>
        <v>1</v>
      </c>
    </row>
    <row r="567" spans="1:1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  <c r="N567" s="31">
        <f t="shared" si="16"/>
        <v>45677</v>
      </c>
      <c r="O567" t="b">
        <f t="shared" si="17"/>
        <v>1</v>
      </c>
    </row>
    <row r="568" spans="1:1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  <c r="N568" s="31">
        <f t="shared" si="16"/>
        <v>45760</v>
      </c>
      <c r="O568" t="b">
        <f t="shared" si="17"/>
        <v>1</v>
      </c>
    </row>
    <row r="569" spans="1:1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  <c r="N569" s="31">
        <f t="shared" si="16"/>
        <v>45733</v>
      </c>
      <c r="O569" t="b">
        <f t="shared" si="17"/>
        <v>1</v>
      </c>
    </row>
    <row r="570" spans="1:1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  <c r="N570" s="31">
        <f t="shared" si="16"/>
        <v>45724</v>
      </c>
      <c r="O570" t="b">
        <f t="shared" si="17"/>
        <v>1</v>
      </c>
    </row>
    <row r="571" spans="1:1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  <c r="N571" s="31">
        <f t="shared" si="16"/>
        <v>46013</v>
      </c>
      <c r="O571" t="b">
        <f t="shared" si="17"/>
        <v>1</v>
      </c>
    </row>
    <row r="572" spans="1:1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  <c r="N572" s="31">
        <f t="shared" si="16"/>
        <v>45787</v>
      </c>
      <c r="O572" t="b">
        <f t="shared" si="17"/>
        <v>1</v>
      </c>
    </row>
    <row r="573" spans="1:1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  <c r="N573" s="31">
        <f t="shared" si="16"/>
        <v>45666</v>
      </c>
      <c r="O573" t="b">
        <f t="shared" si="17"/>
        <v>1</v>
      </c>
    </row>
    <row r="574" spans="1:1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  <c r="N574" s="31">
        <f t="shared" si="16"/>
        <v>46023</v>
      </c>
      <c r="O574" t="b">
        <f t="shared" si="17"/>
        <v>1</v>
      </c>
    </row>
    <row r="575" spans="1:1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  <c r="N575" s="31">
        <f t="shared" si="16"/>
        <v>45920</v>
      </c>
      <c r="O575" t="b">
        <f t="shared" si="17"/>
        <v>1</v>
      </c>
    </row>
    <row r="576" spans="1:1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  <c r="N576" s="31">
        <f t="shared" si="16"/>
        <v>45793</v>
      </c>
      <c r="O576" t="b">
        <f t="shared" si="17"/>
        <v>1</v>
      </c>
    </row>
    <row r="577" spans="1:1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  <c r="N577" s="31">
        <f t="shared" si="16"/>
        <v>45826</v>
      </c>
      <c r="O577" t="b">
        <f t="shared" si="17"/>
        <v>1</v>
      </c>
    </row>
    <row r="578" spans="1:1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  <c r="N578" s="31">
        <f t="shared" si="16"/>
        <v>45725</v>
      </c>
      <c r="O578" t="b">
        <f t="shared" si="17"/>
        <v>1</v>
      </c>
    </row>
    <row r="579" spans="1:1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  <c r="N579" s="31">
        <f t="shared" ref="N579:N642" si="18">DATEVALUE(LEFT(B579,10))</f>
        <v>45766</v>
      </c>
      <c r="O579" t="b">
        <f t="shared" ref="O579:O642" si="19">ISNUMBER(N579)</f>
        <v>1</v>
      </c>
    </row>
    <row r="580" spans="1:1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  <c r="N580" s="31">
        <f t="shared" si="18"/>
        <v>45828</v>
      </c>
      <c r="O580" t="b">
        <f t="shared" si="19"/>
        <v>1</v>
      </c>
    </row>
    <row r="581" spans="1:1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  <c r="N581" s="31">
        <f t="shared" si="18"/>
        <v>45845</v>
      </c>
      <c r="O581" t="b">
        <f t="shared" si="19"/>
        <v>1</v>
      </c>
    </row>
    <row r="582" spans="1:1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  <c r="N582" s="31">
        <f t="shared" si="18"/>
        <v>46020</v>
      </c>
      <c r="O582" t="b">
        <f t="shared" si="19"/>
        <v>1</v>
      </c>
    </row>
    <row r="583" spans="1:1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  <c r="N583" s="31">
        <f t="shared" si="18"/>
        <v>45723</v>
      </c>
      <c r="O583" t="b">
        <f t="shared" si="19"/>
        <v>1</v>
      </c>
    </row>
    <row r="584" spans="1:1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  <c r="N584" s="31">
        <f t="shared" si="18"/>
        <v>45924</v>
      </c>
      <c r="O584" t="b">
        <f t="shared" si="19"/>
        <v>1</v>
      </c>
    </row>
    <row r="585" spans="1:1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  <c r="N585" s="31">
        <f t="shared" si="18"/>
        <v>45696</v>
      </c>
      <c r="O585" t="b">
        <f t="shared" si="19"/>
        <v>1</v>
      </c>
    </row>
    <row r="586" spans="1:1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  <c r="N586" s="31">
        <f t="shared" si="18"/>
        <v>45670</v>
      </c>
      <c r="O586" t="b">
        <f t="shared" si="19"/>
        <v>1</v>
      </c>
    </row>
    <row r="587" spans="1:1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  <c r="N587" s="31">
        <f t="shared" si="18"/>
        <v>45904</v>
      </c>
      <c r="O587" t="b">
        <f t="shared" si="19"/>
        <v>1</v>
      </c>
    </row>
    <row r="588" spans="1:1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  <c r="N588" s="31">
        <f t="shared" si="18"/>
        <v>45736</v>
      </c>
      <c r="O588" t="b">
        <f t="shared" si="19"/>
        <v>1</v>
      </c>
    </row>
    <row r="589" spans="1:1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  <c r="N589" s="31">
        <f t="shared" si="18"/>
        <v>46008</v>
      </c>
      <c r="O589" t="b">
        <f t="shared" si="19"/>
        <v>1</v>
      </c>
    </row>
    <row r="590" spans="1:1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  <c r="N590" s="31">
        <f t="shared" si="18"/>
        <v>46010</v>
      </c>
      <c r="O590" t="b">
        <f t="shared" si="19"/>
        <v>1</v>
      </c>
    </row>
    <row r="591" spans="1:1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  <c r="N591" s="31">
        <f t="shared" si="18"/>
        <v>45835</v>
      </c>
      <c r="O591" t="b">
        <f t="shared" si="19"/>
        <v>1</v>
      </c>
    </row>
    <row r="592" spans="1:1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  <c r="N592" s="31">
        <f t="shared" si="18"/>
        <v>45877</v>
      </c>
      <c r="O592" t="b">
        <f t="shared" si="19"/>
        <v>1</v>
      </c>
    </row>
    <row r="593" spans="1:1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  <c r="N593" s="31">
        <f t="shared" si="18"/>
        <v>45658</v>
      </c>
      <c r="O593" t="b">
        <f t="shared" si="19"/>
        <v>1</v>
      </c>
    </row>
    <row r="594" spans="1:1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  <c r="N594" s="31">
        <f t="shared" si="18"/>
        <v>45875</v>
      </c>
      <c r="O594" t="b">
        <f t="shared" si="19"/>
        <v>1</v>
      </c>
    </row>
    <row r="595" spans="1:1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  <c r="N595" s="31">
        <f t="shared" si="18"/>
        <v>45764</v>
      </c>
      <c r="O595" t="b">
        <f t="shared" si="19"/>
        <v>1</v>
      </c>
    </row>
    <row r="596" spans="1:1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  <c r="N596" s="31">
        <f t="shared" si="18"/>
        <v>45942</v>
      </c>
      <c r="O596" t="b">
        <f t="shared" si="19"/>
        <v>1</v>
      </c>
    </row>
    <row r="597" spans="1:1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  <c r="N597" s="31">
        <f t="shared" si="18"/>
        <v>45783</v>
      </c>
      <c r="O597" t="b">
        <f t="shared" si="19"/>
        <v>1</v>
      </c>
    </row>
    <row r="598" spans="1:1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  <c r="N598" s="31">
        <f t="shared" si="18"/>
        <v>45873</v>
      </c>
      <c r="O598" t="b">
        <f t="shared" si="19"/>
        <v>1</v>
      </c>
    </row>
    <row r="599" spans="1:1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  <c r="N599" s="31">
        <f t="shared" si="18"/>
        <v>45744</v>
      </c>
      <c r="O599" t="b">
        <f t="shared" si="19"/>
        <v>1</v>
      </c>
    </row>
    <row r="600" spans="1:1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  <c r="N600" s="31">
        <f t="shared" si="18"/>
        <v>45709</v>
      </c>
      <c r="O600" t="b">
        <f t="shared" si="19"/>
        <v>1</v>
      </c>
    </row>
    <row r="601" spans="1:1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  <c r="N601" s="31">
        <f t="shared" si="18"/>
        <v>45749</v>
      </c>
      <c r="O601" t="b">
        <f t="shared" si="19"/>
        <v>1</v>
      </c>
    </row>
    <row r="602" spans="1:1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  <c r="N602" s="31">
        <f t="shared" si="18"/>
        <v>45905</v>
      </c>
      <c r="O602" t="b">
        <f t="shared" si="19"/>
        <v>1</v>
      </c>
    </row>
    <row r="603" spans="1:1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  <c r="N603" s="31">
        <f t="shared" si="18"/>
        <v>45873</v>
      </c>
      <c r="O603" t="b">
        <f t="shared" si="19"/>
        <v>1</v>
      </c>
    </row>
    <row r="604" spans="1:1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  <c r="N604" s="31">
        <f t="shared" si="18"/>
        <v>45866</v>
      </c>
      <c r="O604" t="b">
        <f t="shared" si="19"/>
        <v>1</v>
      </c>
    </row>
    <row r="605" spans="1:1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  <c r="N605" s="31">
        <f t="shared" si="18"/>
        <v>45865</v>
      </c>
      <c r="O605" t="b">
        <f t="shared" si="19"/>
        <v>1</v>
      </c>
    </row>
    <row r="606" spans="1:1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  <c r="N606" s="31">
        <f t="shared" si="18"/>
        <v>45708</v>
      </c>
      <c r="O606" t="b">
        <f t="shared" si="19"/>
        <v>1</v>
      </c>
    </row>
    <row r="607" spans="1:1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  <c r="N607" s="31">
        <f t="shared" si="18"/>
        <v>45951</v>
      </c>
      <c r="O607" t="b">
        <f t="shared" si="19"/>
        <v>1</v>
      </c>
    </row>
    <row r="608" spans="1:1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  <c r="N608" s="31">
        <f t="shared" si="18"/>
        <v>45860</v>
      </c>
      <c r="O608" t="b">
        <f t="shared" si="19"/>
        <v>1</v>
      </c>
    </row>
    <row r="609" spans="1:1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  <c r="N609" s="31">
        <f t="shared" si="18"/>
        <v>45708</v>
      </c>
      <c r="O609" t="b">
        <f t="shared" si="19"/>
        <v>1</v>
      </c>
    </row>
    <row r="610" spans="1:1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  <c r="N610" s="31">
        <f t="shared" si="18"/>
        <v>45984</v>
      </c>
      <c r="O610" t="b">
        <f t="shared" si="19"/>
        <v>1</v>
      </c>
    </row>
    <row r="611" spans="1:1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  <c r="N611" s="31">
        <f t="shared" si="18"/>
        <v>46012</v>
      </c>
      <c r="O611" t="b">
        <f t="shared" si="19"/>
        <v>1</v>
      </c>
    </row>
    <row r="612" spans="1:1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  <c r="N612" s="31">
        <f t="shared" si="18"/>
        <v>45756</v>
      </c>
      <c r="O612" t="b">
        <f t="shared" si="19"/>
        <v>1</v>
      </c>
    </row>
    <row r="613" spans="1:1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  <c r="N613" s="31">
        <f t="shared" si="18"/>
        <v>45809</v>
      </c>
      <c r="O613" t="b">
        <f t="shared" si="19"/>
        <v>1</v>
      </c>
    </row>
    <row r="614" spans="1:1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  <c r="N614" s="31">
        <f t="shared" si="18"/>
        <v>45783</v>
      </c>
      <c r="O614" t="b">
        <f t="shared" si="19"/>
        <v>1</v>
      </c>
    </row>
    <row r="615" spans="1:1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  <c r="N615" s="31">
        <f t="shared" si="18"/>
        <v>45742</v>
      </c>
      <c r="O615" t="b">
        <f t="shared" si="19"/>
        <v>1</v>
      </c>
    </row>
    <row r="616" spans="1:1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  <c r="N616" s="31">
        <f t="shared" si="18"/>
        <v>46001</v>
      </c>
      <c r="O616" t="b">
        <f t="shared" si="19"/>
        <v>1</v>
      </c>
    </row>
    <row r="617" spans="1:1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  <c r="N617" s="31">
        <f t="shared" si="18"/>
        <v>45812</v>
      </c>
      <c r="O617" t="b">
        <f t="shared" si="19"/>
        <v>1</v>
      </c>
    </row>
    <row r="618" spans="1:1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  <c r="N618" s="31">
        <f t="shared" si="18"/>
        <v>45852</v>
      </c>
      <c r="O618" t="b">
        <f t="shared" si="19"/>
        <v>1</v>
      </c>
    </row>
    <row r="619" spans="1:1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  <c r="N619" s="31">
        <f t="shared" si="18"/>
        <v>46008</v>
      </c>
      <c r="O619" t="b">
        <f t="shared" si="19"/>
        <v>1</v>
      </c>
    </row>
    <row r="620" spans="1:1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  <c r="N620" s="31">
        <f t="shared" si="18"/>
        <v>45941</v>
      </c>
      <c r="O620" t="b">
        <f t="shared" si="19"/>
        <v>1</v>
      </c>
    </row>
    <row r="621" spans="1:1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  <c r="N621" s="31">
        <f t="shared" si="18"/>
        <v>46016</v>
      </c>
      <c r="O621" t="b">
        <f t="shared" si="19"/>
        <v>1</v>
      </c>
    </row>
    <row r="622" spans="1:1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  <c r="N622" s="31">
        <f t="shared" si="18"/>
        <v>45788</v>
      </c>
      <c r="O622" t="b">
        <f t="shared" si="19"/>
        <v>1</v>
      </c>
    </row>
    <row r="623" spans="1:1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  <c r="N623" s="31">
        <f t="shared" si="18"/>
        <v>45701</v>
      </c>
      <c r="O623" t="b">
        <f t="shared" si="19"/>
        <v>1</v>
      </c>
    </row>
    <row r="624" spans="1:1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  <c r="N624" s="31">
        <f t="shared" si="18"/>
        <v>45829</v>
      </c>
      <c r="O624" t="b">
        <f t="shared" si="19"/>
        <v>1</v>
      </c>
    </row>
    <row r="625" spans="1:1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  <c r="N625" s="31">
        <f t="shared" si="18"/>
        <v>45827</v>
      </c>
      <c r="O625" t="b">
        <f t="shared" si="19"/>
        <v>1</v>
      </c>
    </row>
    <row r="626" spans="1:1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  <c r="N626" s="31">
        <f t="shared" si="18"/>
        <v>45987</v>
      </c>
      <c r="O626" t="b">
        <f t="shared" si="19"/>
        <v>1</v>
      </c>
    </row>
    <row r="627" spans="1:1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  <c r="N627" s="31">
        <f t="shared" si="18"/>
        <v>45690</v>
      </c>
      <c r="O627" t="b">
        <f t="shared" si="19"/>
        <v>1</v>
      </c>
    </row>
    <row r="628" spans="1:1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  <c r="N628" s="31">
        <f t="shared" si="18"/>
        <v>45821</v>
      </c>
      <c r="O628" t="b">
        <f t="shared" si="19"/>
        <v>1</v>
      </c>
    </row>
    <row r="629" spans="1:1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  <c r="N629" s="31">
        <f t="shared" si="18"/>
        <v>45793</v>
      </c>
      <c r="O629" t="b">
        <f t="shared" si="19"/>
        <v>1</v>
      </c>
    </row>
    <row r="630" spans="1:1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  <c r="N630" s="31">
        <f t="shared" si="18"/>
        <v>45728</v>
      </c>
      <c r="O630" t="b">
        <f t="shared" si="19"/>
        <v>1</v>
      </c>
    </row>
    <row r="631" spans="1:1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  <c r="N631" s="31">
        <f t="shared" si="18"/>
        <v>45904</v>
      </c>
      <c r="O631" t="b">
        <f t="shared" si="19"/>
        <v>1</v>
      </c>
    </row>
    <row r="632" spans="1:1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  <c r="N632" s="31">
        <f t="shared" si="18"/>
        <v>45718</v>
      </c>
      <c r="O632" t="b">
        <f t="shared" si="19"/>
        <v>1</v>
      </c>
    </row>
    <row r="633" spans="1:1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  <c r="N633" s="31">
        <f t="shared" si="18"/>
        <v>45858</v>
      </c>
      <c r="O633" t="b">
        <f t="shared" si="19"/>
        <v>1</v>
      </c>
    </row>
    <row r="634" spans="1:1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  <c r="N634" s="31">
        <f t="shared" si="18"/>
        <v>45729</v>
      </c>
      <c r="O634" t="b">
        <f t="shared" si="19"/>
        <v>1</v>
      </c>
    </row>
    <row r="635" spans="1:1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  <c r="N635" s="31">
        <f t="shared" si="18"/>
        <v>45981</v>
      </c>
      <c r="O635" t="b">
        <f t="shared" si="19"/>
        <v>1</v>
      </c>
    </row>
    <row r="636" spans="1:1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  <c r="N636" s="31">
        <f t="shared" si="18"/>
        <v>45787</v>
      </c>
      <c r="O636" t="b">
        <f t="shared" si="19"/>
        <v>1</v>
      </c>
    </row>
    <row r="637" spans="1:1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  <c r="N637" s="31">
        <f t="shared" si="18"/>
        <v>45726</v>
      </c>
      <c r="O637" t="b">
        <f t="shared" si="19"/>
        <v>1</v>
      </c>
    </row>
    <row r="638" spans="1:1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  <c r="N638" s="31">
        <f t="shared" si="18"/>
        <v>45743</v>
      </c>
      <c r="O638" t="b">
        <f t="shared" si="19"/>
        <v>1</v>
      </c>
    </row>
    <row r="639" spans="1:1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  <c r="N639" s="31">
        <f t="shared" si="18"/>
        <v>45785</v>
      </c>
      <c r="O639" t="b">
        <f t="shared" si="19"/>
        <v>1</v>
      </c>
    </row>
    <row r="640" spans="1:1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  <c r="N640" s="31">
        <f t="shared" si="18"/>
        <v>45943</v>
      </c>
      <c r="O640" t="b">
        <f t="shared" si="19"/>
        <v>1</v>
      </c>
    </row>
    <row r="641" spans="1:1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  <c r="N641" s="31">
        <f t="shared" si="18"/>
        <v>45822</v>
      </c>
      <c r="O641" t="b">
        <f t="shared" si="19"/>
        <v>1</v>
      </c>
    </row>
    <row r="642" spans="1:1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  <c r="N642" s="31">
        <f t="shared" si="18"/>
        <v>45949</v>
      </c>
      <c r="O642" t="b">
        <f t="shared" si="19"/>
        <v>1</v>
      </c>
    </row>
    <row r="643" spans="1:1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  <c r="N643" s="31">
        <f t="shared" ref="N643:N706" si="20">DATEVALUE(LEFT(B643,10))</f>
        <v>45789</v>
      </c>
      <c r="O643" t="b">
        <f t="shared" ref="O643:O706" si="21">ISNUMBER(N643)</f>
        <v>1</v>
      </c>
    </row>
    <row r="644" spans="1:1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  <c r="N644" s="31">
        <f t="shared" si="20"/>
        <v>45918</v>
      </c>
      <c r="O644" t="b">
        <f t="shared" si="21"/>
        <v>1</v>
      </c>
    </row>
    <row r="645" spans="1:1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  <c r="N645" s="31">
        <f t="shared" si="20"/>
        <v>45781</v>
      </c>
      <c r="O645" t="b">
        <f t="shared" si="21"/>
        <v>1</v>
      </c>
    </row>
    <row r="646" spans="1:1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  <c r="N646" s="31">
        <f t="shared" si="20"/>
        <v>45898</v>
      </c>
      <c r="O646" t="b">
        <f t="shared" si="21"/>
        <v>1</v>
      </c>
    </row>
    <row r="647" spans="1:1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  <c r="N647" s="31">
        <f t="shared" si="20"/>
        <v>46005</v>
      </c>
      <c r="O647" t="b">
        <f t="shared" si="21"/>
        <v>1</v>
      </c>
    </row>
    <row r="648" spans="1:1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  <c r="N648" s="31">
        <f t="shared" si="20"/>
        <v>45909</v>
      </c>
      <c r="O648" t="b">
        <f t="shared" si="21"/>
        <v>1</v>
      </c>
    </row>
    <row r="649" spans="1:1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  <c r="N649" s="31">
        <f t="shared" si="20"/>
        <v>45663</v>
      </c>
      <c r="O649" t="b">
        <f t="shared" si="21"/>
        <v>1</v>
      </c>
    </row>
    <row r="650" spans="1:1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  <c r="N650" s="31">
        <f t="shared" si="20"/>
        <v>45922</v>
      </c>
      <c r="O650" t="b">
        <f t="shared" si="21"/>
        <v>1</v>
      </c>
    </row>
    <row r="651" spans="1:1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  <c r="N651" s="31">
        <f t="shared" si="20"/>
        <v>45688</v>
      </c>
      <c r="O651" t="b">
        <f t="shared" si="21"/>
        <v>1</v>
      </c>
    </row>
    <row r="652" spans="1:1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  <c r="N652" s="31">
        <f t="shared" si="20"/>
        <v>45691</v>
      </c>
      <c r="O652" t="b">
        <f t="shared" si="21"/>
        <v>1</v>
      </c>
    </row>
    <row r="653" spans="1:1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  <c r="N653" s="31">
        <f t="shared" si="20"/>
        <v>45768</v>
      </c>
      <c r="O653" t="b">
        <f t="shared" si="21"/>
        <v>1</v>
      </c>
    </row>
    <row r="654" spans="1:1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  <c r="N654" s="31">
        <f t="shared" si="20"/>
        <v>45711</v>
      </c>
      <c r="O654" t="b">
        <f t="shared" si="21"/>
        <v>1</v>
      </c>
    </row>
    <row r="655" spans="1:1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  <c r="N655" s="31">
        <f t="shared" si="20"/>
        <v>45870</v>
      </c>
      <c r="O655" t="b">
        <f t="shared" si="21"/>
        <v>1</v>
      </c>
    </row>
    <row r="656" spans="1:1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  <c r="N656" s="31">
        <f t="shared" si="20"/>
        <v>45847</v>
      </c>
      <c r="O656" t="b">
        <f t="shared" si="21"/>
        <v>1</v>
      </c>
    </row>
    <row r="657" spans="1:1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  <c r="N657" s="31">
        <f t="shared" si="20"/>
        <v>45992</v>
      </c>
      <c r="O657" t="b">
        <f t="shared" si="21"/>
        <v>1</v>
      </c>
    </row>
    <row r="658" spans="1:1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  <c r="N658" s="31">
        <f t="shared" si="20"/>
        <v>45944</v>
      </c>
      <c r="O658" t="b">
        <f t="shared" si="21"/>
        <v>1</v>
      </c>
    </row>
    <row r="659" spans="1:1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  <c r="N659" s="31">
        <f t="shared" si="20"/>
        <v>45902</v>
      </c>
      <c r="O659" t="b">
        <f t="shared" si="21"/>
        <v>1</v>
      </c>
    </row>
    <row r="660" spans="1:1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  <c r="N660" s="31">
        <f t="shared" si="20"/>
        <v>45670</v>
      </c>
      <c r="O660" t="b">
        <f t="shared" si="21"/>
        <v>1</v>
      </c>
    </row>
    <row r="661" spans="1:1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  <c r="N661" s="31">
        <f t="shared" si="20"/>
        <v>45913</v>
      </c>
      <c r="O661" t="b">
        <f t="shared" si="21"/>
        <v>1</v>
      </c>
    </row>
    <row r="662" spans="1:1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  <c r="N662" s="31">
        <f t="shared" si="20"/>
        <v>45917</v>
      </c>
      <c r="O662" t="b">
        <f t="shared" si="21"/>
        <v>1</v>
      </c>
    </row>
    <row r="663" spans="1:1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  <c r="N663" s="31">
        <f t="shared" si="20"/>
        <v>45858</v>
      </c>
      <c r="O663" t="b">
        <f t="shared" si="21"/>
        <v>1</v>
      </c>
    </row>
    <row r="664" spans="1:1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  <c r="N664" s="31">
        <f t="shared" si="20"/>
        <v>45845</v>
      </c>
      <c r="O664" t="b">
        <f t="shared" si="21"/>
        <v>1</v>
      </c>
    </row>
    <row r="665" spans="1:1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  <c r="N665" s="31">
        <f t="shared" si="20"/>
        <v>45842</v>
      </c>
      <c r="O665" t="b">
        <f t="shared" si="21"/>
        <v>1</v>
      </c>
    </row>
    <row r="666" spans="1:1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  <c r="N666" s="31">
        <f t="shared" si="20"/>
        <v>46006</v>
      </c>
      <c r="O666" t="b">
        <f t="shared" si="21"/>
        <v>1</v>
      </c>
    </row>
    <row r="667" spans="1:1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  <c r="N667" s="31">
        <f t="shared" si="20"/>
        <v>45718</v>
      </c>
      <c r="O667" t="b">
        <f t="shared" si="21"/>
        <v>1</v>
      </c>
    </row>
    <row r="668" spans="1:1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  <c r="N668" s="31">
        <f t="shared" si="20"/>
        <v>45738</v>
      </c>
      <c r="O668" t="b">
        <f t="shared" si="21"/>
        <v>1</v>
      </c>
    </row>
    <row r="669" spans="1:1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  <c r="N669" s="31">
        <f t="shared" si="20"/>
        <v>45850</v>
      </c>
      <c r="O669" t="b">
        <f t="shared" si="21"/>
        <v>1</v>
      </c>
    </row>
    <row r="670" spans="1:1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  <c r="N670" s="31">
        <f t="shared" si="20"/>
        <v>45882</v>
      </c>
      <c r="O670" t="b">
        <f t="shared" si="21"/>
        <v>1</v>
      </c>
    </row>
    <row r="671" spans="1:1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  <c r="N671" s="31">
        <f t="shared" si="20"/>
        <v>45854</v>
      </c>
      <c r="O671" t="b">
        <f t="shared" si="21"/>
        <v>1</v>
      </c>
    </row>
    <row r="672" spans="1:1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  <c r="N672" s="31">
        <f t="shared" si="20"/>
        <v>46013</v>
      </c>
      <c r="O672" t="b">
        <f t="shared" si="21"/>
        <v>1</v>
      </c>
    </row>
    <row r="673" spans="1:1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  <c r="N673" s="31">
        <f t="shared" si="20"/>
        <v>45803</v>
      </c>
      <c r="O673" t="b">
        <f t="shared" si="21"/>
        <v>1</v>
      </c>
    </row>
    <row r="674" spans="1:1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  <c r="N674" s="31">
        <f t="shared" si="20"/>
        <v>45673</v>
      </c>
      <c r="O674" t="b">
        <f t="shared" si="21"/>
        <v>1</v>
      </c>
    </row>
    <row r="675" spans="1:1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  <c r="N675" s="31">
        <f t="shared" si="20"/>
        <v>45981</v>
      </c>
      <c r="O675" t="b">
        <f t="shared" si="21"/>
        <v>1</v>
      </c>
    </row>
    <row r="676" spans="1:1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  <c r="N676" s="31">
        <f t="shared" si="20"/>
        <v>45995</v>
      </c>
      <c r="O676" t="b">
        <f t="shared" si="21"/>
        <v>1</v>
      </c>
    </row>
    <row r="677" spans="1:1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  <c r="N677" s="31">
        <f t="shared" si="20"/>
        <v>45859</v>
      </c>
      <c r="O677" t="b">
        <f t="shared" si="21"/>
        <v>1</v>
      </c>
    </row>
    <row r="678" spans="1:1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  <c r="N678" s="31">
        <f t="shared" si="20"/>
        <v>45870</v>
      </c>
      <c r="O678" t="b">
        <f t="shared" si="21"/>
        <v>1</v>
      </c>
    </row>
    <row r="679" spans="1:1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  <c r="N679" s="31">
        <f t="shared" si="20"/>
        <v>45807</v>
      </c>
      <c r="O679" t="b">
        <f t="shared" si="21"/>
        <v>1</v>
      </c>
    </row>
    <row r="680" spans="1:1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  <c r="N680" s="31">
        <f t="shared" si="20"/>
        <v>45842</v>
      </c>
      <c r="O680" t="b">
        <f t="shared" si="21"/>
        <v>1</v>
      </c>
    </row>
    <row r="681" spans="1:1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  <c r="N681" s="31">
        <f t="shared" si="20"/>
        <v>45845</v>
      </c>
      <c r="O681" t="b">
        <f t="shared" si="21"/>
        <v>1</v>
      </c>
    </row>
    <row r="682" spans="1:1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  <c r="N682" s="31">
        <f t="shared" si="20"/>
        <v>45811</v>
      </c>
      <c r="O682" t="b">
        <f t="shared" si="21"/>
        <v>1</v>
      </c>
    </row>
    <row r="683" spans="1:1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  <c r="N683" s="31">
        <f t="shared" si="20"/>
        <v>45749</v>
      </c>
      <c r="O683" t="b">
        <f t="shared" si="21"/>
        <v>1</v>
      </c>
    </row>
    <row r="684" spans="1:1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  <c r="N684" s="31">
        <f t="shared" si="20"/>
        <v>45696</v>
      </c>
      <c r="O684" t="b">
        <f t="shared" si="21"/>
        <v>1</v>
      </c>
    </row>
    <row r="685" spans="1:1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  <c r="N685" s="31">
        <f t="shared" si="20"/>
        <v>45954</v>
      </c>
      <c r="O685" t="b">
        <f t="shared" si="21"/>
        <v>1</v>
      </c>
    </row>
    <row r="686" spans="1:1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  <c r="N686" s="31">
        <f t="shared" si="20"/>
        <v>45997</v>
      </c>
      <c r="O686" t="b">
        <f t="shared" si="21"/>
        <v>1</v>
      </c>
    </row>
    <row r="687" spans="1:1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  <c r="N687" s="31">
        <f t="shared" si="20"/>
        <v>45776</v>
      </c>
      <c r="O687" t="b">
        <f t="shared" si="21"/>
        <v>1</v>
      </c>
    </row>
    <row r="688" spans="1:1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  <c r="N688" s="31">
        <f t="shared" si="20"/>
        <v>46022</v>
      </c>
      <c r="O688" t="b">
        <f t="shared" si="21"/>
        <v>1</v>
      </c>
    </row>
    <row r="689" spans="1:1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  <c r="N689" s="31">
        <f t="shared" si="20"/>
        <v>45974</v>
      </c>
      <c r="O689" t="b">
        <f t="shared" si="21"/>
        <v>1</v>
      </c>
    </row>
    <row r="690" spans="1:1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  <c r="N690" s="31">
        <f t="shared" si="20"/>
        <v>45695</v>
      </c>
      <c r="O690" t="b">
        <f t="shared" si="21"/>
        <v>1</v>
      </c>
    </row>
    <row r="691" spans="1:1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  <c r="N691" s="31">
        <f t="shared" si="20"/>
        <v>45872</v>
      </c>
      <c r="O691" t="b">
        <f t="shared" si="21"/>
        <v>1</v>
      </c>
    </row>
    <row r="692" spans="1:1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  <c r="N692" s="31">
        <f t="shared" si="20"/>
        <v>45710</v>
      </c>
      <c r="O692" t="b">
        <f t="shared" si="21"/>
        <v>1</v>
      </c>
    </row>
    <row r="693" spans="1:1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  <c r="N693" s="31">
        <f t="shared" si="20"/>
        <v>46000</v>
      </c>
      <c r="O693" t="b">
        <f t="shared" si="21"/>
        <v>1</v>
      </c>
    </row>
    <row r="694" spans="1:1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  <c r="N694" s="31">
        <f t="shared" si="20"/>
        <v>45830</v>
      </c>
      <c r="O694" t="b">
        <f t="shared" si="21"/>
        <v>1</v>
      </c>
    </row>
    <row r="695" spans="1:1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  <c r="N695" s="31">
        <f t="shared" si="20"/>
        <v>45991</v>
      </c>
      <c r="O695" t="b">
        <f t="shared" si="21"/>
        <v>1</v>
      </c>
    </row>
    <row r="696" spans="1:1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  <c r="N696" s="31">
        <f t="shared" si="20"/>
        <v>45972</v>
      </c>
      <c r="O696" t="b">
        <f t="shared" si="21"/>
        <v>1</v>
      </c>
    </row>
    <row r="697" spans="1:1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  <c r="N697" s="31">
        <f t="shared" si="20"/>
        <v>45765</v>
      </c>
      <c r="O697" t="b">
        <f t="shared" si="21"/>
        <v>1</v>
      </c>
    </row>
    <row r="698" spans="1:1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  <c r="N698" s="31">
        <f t="shared" si="20"/>
        <v>45720</v>
      </c>
      <c r="O698" t="b">
        <f t="shared" si="21"/>
        <v>1</v>
      </c>
    </row>
    <row r="699" spans="1:1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  <c r="N699" s="31">
        <f t="shared" si="20"/>
        <v>45844</v>
      </c>
      <c r="O699" t="b">
        <f t="shared" si="21"/>
        <v>1</v>
      </c>
    </row>
    <row r="700" spans="1:1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  <c r="N700" s="31">
        <f t="shared" si="20"/>
        <v>45797</v>
      </c>
      <c r="O700" t="b">
        <f t="shared" si="21"/>
        <v>1</v>
      </c>
    </row>
    <row r="701" spans="1:1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  <c r="N701" s="31">
        <f t="shared" si="20"/>
        <v>45901</v>
      </c>
      <c r="O701" t="b">
        <f t="shared" si="21"/>
        <v>1</v>
      </c>
    </row>
    <row r="702" spans="1:1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  <c r="N702" s="31">
        <f t="shared" si="20"/>
        <v>45869</v>
      </c>
      <c r="O702" t="b">
        <f t="shared" si="21"/>
        <v>1</v>
      </c>
    </row>
    <row r="703" spans="1:1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  <c r="N703" s="31">
        <f t="shared" si="20"/>
        <v>45675</v>
      </c>
      <c r="O703" t="b">
        <f t="shared" si="21"/>
        <v>1</v>
      </c>
    </row>
    <row r="704" spans="1:1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  <c r="N704" s="31">
        <f t="shared" si="20"/>
        <v>45887</v>
      </c>
      <c r="O704" t="b">
        <f t="shared" si="21"/>
        <v>1</v>
      </c>
    </row>
    <row r="705" spans="1:1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  <c r="N705" s="31">
        <f t="shared" si="20"/>
        <v>45791</v>
      </c>
      <c r="O705" t="b">
        <f t="shared" si="21"/>
        <v>1</v>
      </c>
    </row>
    <row r="706" spans="1:1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  <c r="N706" s="31">
        <f t="shared" si="20"/>
        <v>45782</v>
      </c>
      <c r="O706" t="b">
        <f t="shared" si="21"/>
        <v>1</v>
      </c>
    </row>
    <row r="707" spans="1:1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  <c r="N707" s="31">
        <f t="shared" ref="N707:N770" si="22">DATEVALUE(LEFT(B707,10))</f>
        <v>45980</v>
      </c>
      <c r="O707" t="b">
        <f t="shared" ref="O707:O770" si="23">ISNUMBER(N707)</f>
        <v>1</v>
      </c>
    </row>
    <row r="708" spans="1:1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  <c r="N708" s="31">
        <f t="shared" si="22"/>
        <v>45936</v>
      </c>
      <c r="O708" t="b">
        <f t="shared" si="23"/>
        <v>1</v>
      </c>
    </row>
    <row r="709" spans="1:1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  <c r="N709" s="31">
        <f t="shared" si="22"/>
        <v>45770</v>
      </c>
      <c r="O709" t="b">
        <f t="shared" si="23"/>
        <v>1</v>
      </c>
    </row>
    <row r="710" spans="1:1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  <c r="N710" s="31">
        <f t="shared" si="22"/>
        <v>45801</v>
      </c>
      <c r="O710" t="b">
        <f t="shared" si="23"/>
        <v>1</v>
      </c>
    </row>
    <row r="711" spans="1:1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  <c r="N711" s="31">
        <f t="shared" si="22"/>
        <v>45664</v>
      </c>
      <c r="O711" t="b">
        <f t="shared" si="23"/>
        <v>1</v>
      </c>
    </row>
    <row r="712" spans="1:1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  <c r="N712" s="31">
        <f t="shared" si="22"/>
        <v>45904</v>
      </c>
      <c r="O712" t="b">
        <f t="shared" si="23"/>
        <v>1</v>
      </c>
    </row>
    <row r="713" spans="1:1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  <c r="N713" s="31">
        <f t="shared" si="22"/>
        <v>46005</v>
      </c>
      <c r="O713" t="b">
        <f t="shared" si="23"/>
        <v>1</v>
      </c>
    </row>
    <row r="714" spans="1:1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  <c r="N714" s="31">
        <f t="shared" si="22"/>
        <v>45782</v>
      </c>
      <c r="O714" t="b">
        <f t="shared" si="23"/>
        <v>1</v>
      </c>
    </row>
    <row r="715" spans="1:1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  <c r="N715" s="31">
        <f t="shared" si="22"/>
        <v>45663</v>
      </c>
      <c r="O715" t="b">
        <f t="shared" si="23"/>
        <v>1</v>
      </c>
    </row>
    <row r="716" spans="1:1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  <c r="N716" s="31">
        <f t="shared" si="22"/>
        <v>45696</v>
      </c>
      <c r="O716" t="b">
        <f t="shared" si="23"/>
        <v>1</v>
      </c>
    </row>
    <row r="717" spans="1:1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  <c r="N717" s="31">
        <f t="shared" si="22"/>
        <v>45712</v>
      </c>
      <c r="O717" t="b">
        <f t="shared" si="23"/>
        <v>1</v>
      </c>
    </row>
    <row r="718" spans="1:1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  <c r="N718" s="31">
        <f t="shared" si="22"/>
        <v>45715</v>
      </c>
      <c r="O718" t="b">
        <f t="shared" si="23"/>
        <v>1</v>
      </c>
    </row>
    <row r="719" spans="1:1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  <c r="N719" s="31">
        <f t="shared" si="22"/>
        <v>45913</v>
      </c>
      <c r="O719" t="b">
        <f t="shared" si="23"/>
        <v>1</v>
      </c>
    </row>
    <row r="720" spans="1:1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  <c r="N720" s="31">
        <f t="shared" si="22"/>
        <v>45967</v>
      </c>
      <c r="O720" t="b">
        <f t="shared" si="23"/>
        <v>1</v>
      </c>
    </row>
    <row r="721" spans="1:1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  <c r="N721" s="31">
        <f t="shared" si="22"/>
        <v>45914</v>
      </c>
      <c r="O721" t="b">
        <f t="shared" si="23"/>
        <v>1</v>
      </c>
    </row>
    <row r="722" spans="1:1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  <c r="N722" s="31">
        <f t="shared" si="22"/>
        <v>45882</v>
      </c>
      <c r="O722" t="b">
        <f t="shared" si="23"/>
        <v>1</v>
      </c>
    </row>
    <row r="723" spans="1:1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  <c r="N723" s="31">
        <f t="shared" si="22"/>
        <v>45989</v>
      </c>
      <c r="O723" t="b">
        <f t="shared" si="23"/>
        <v>1</v>
      </c>
    </row>
    <row r="724" spans="1:1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  <c r="N724" s="31">
        <f t="shared" si="22"/>
        <v>45685</v>
      </c>
      <c r="O724" t="b">
        <f t="shared" si="23"/>
        <v>1</v>
      </c>
    </row>
    <row r="725" spans="1:1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  <c r="N725" s="31">
        <f t="shared" si="22"/>
        <v>45940</v>
      </c>
      <c r="O725" t="b">
        <f t="shared" si="23"/>
        <v>1</v>
      </c>
    </row>
    <row r="726" spans="1:1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  <c r="N726" s="31">
        <f t="shared" si="22"/>
        <v>45844</v>
      </c>
      <c r="O726" t="b">
        <f t="shared" si="23"/>
        <v>1</v>
      </c>
    </row>
    <row r="727" spans="1:1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  <c r="N727" s="31">
        <f t="shared" si="22"/>
        <v>45929</v>
      </c>
      <c r="O727" t="b">
        <f t="shared" si="23"/>
        <v>1</v>
      </c>
    </row>
    <row r="728" spans="1:1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  <c r="N728" s="31">
        <f t="shared" si="22"/>
        <v>45941</v>
      </c>
      <c r="O728" t="b">
        <f t="shared" si="23"/>
        <v>1</v>
      </c>
    </row>
    <row r="729" spans="1:1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  <c r="N729" s="31">
        <f t="shared" si="22"/>
        <v>45868</v>
      </c>
      <c r="O729" t="b">
        <f t="shared" si="23"/>
        <v>1</v>
      </c>
    </row>
    <row r="730" spans="1:1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  <c r="N730" s="31">
        <f t="shared" si="22"/>
        <v>45662</v>
      </c>
      <c r="O730" t="b">
        <f t="shared" si="23"/>
        <v>1</v>
      </c>
    </row>
    <row r="731" spans="1:1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  <c r="N731" s="31">
        <f t="shared" si="22"/>
        <v>45838</v>
      </c>
      <c r="O731" t="b">
        <f t="shared" si="23"/>
        <v>1</v>
      </c>
    </row>
    <row r="732" spans="1:1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  <c r="N732" s="31">
        <f t="shared" si="22"/>
        <v>45666</v>
      </c>
      <c r="O732" t="b">
        <f t="shared" si="23"/>
        <v>1</v>
      </c>
    </row>
    <row r="733" spans="1:1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  <c r="N733" s="31">
        <f t="shared" si="22"/>
        <v>45701</v>
      </c>
      <c r="O733" t="b">
        <f t="shared" si="23"/>
        <v>1</v>
      </c>
    </row>
    <row r="734" spans="1:1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  <c r="N734" s="31">
        <f t="shared" si="22"/>
        <v>45723</v>
      </c>
      <c r="O734" t="b">
        <f t="shared" si="23"/>
        <v>1</v>
      </c>
    </row>
    <row r="735" spans="1:1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  <c r="N735" s="31">
        <f t="shared" si="22"/>
        <v>45684</v>
      </c>
      <c r="O735" t="b">
        <f t="shared" si="23"/>
        <v>1</v>
      </c>
    </row>
    <row r="736" spans="1:1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  <c r="N736" s="31">
        <f t="shared" si="22"/>
        <v>45923</v>
      </c>
      <c r="O736" t="b">
        <f t="shared" si="23"/>
        <v>1</v>
      </c>
    </row>
    <row r="737" spans="1:1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  <c r="N737" s="31">
        <f t="shared" si="22"/>
        <v>45715</v>
      </c>
      <c r="O737" t="b">
        <f t="shared" si="23"/>
        <v>1</v>
      </c>
    </row>
    <row r="738" spans="1:1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  <c r="N738" s="31">
        <f t="shared" si="22"/>
        <v>46020</v>
      </c>
      <c r="O738" t="b">
        <f t="shared" si="23"/>
        <v>1</v>
      </c>
    </row>
    <row r="739" spans="1:1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  <c r="N739" s="31">
        <f t="shared" si="22"/>
        <v>46008</v>
      </c>
      <c r="O739" t="b">
        <f t="shared" si="23"/>
        <v>1</v>
      </c>
    </row>
    <row r="740" spans="1:1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  <c r="N740" s="31">
        <f t="shared" si="22"/>
        <v>45851</v>
      </c>
      <c r="O740" t="b">
        <f t="shared" si="23"/>
        <v>1</v>
      </c>
    </row>
    <row r="741" spans="1:1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  <c r="N741" s="31">
        <f t="shared" si="22"/>
        <v>45930</v>
      </c>
      <c r="O741" t="b">
        <f t="shared" si="23"/>
        <v>1</v>
      </c>
    </row>
    <row r="742" spans="1:1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  <c r="N742" s="31">
        <f t="shared" si="22"/>
        <v>45961</v>
      </c>
      <c r="O742" t="b">
        <f t="shared" si="23"/>
        <v>1</v>
      </c>
    </row>
    <row r="743" spans="1:1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  <c r="N743" s="31">
        <f t="shared" si="22"/>
        <v>45725</v>
      </c>
      <c r="O743" t="b">
        <f t="shared" si="23"/>
        <v>1</v>
      </c>
    </row>
    <row r="744" spans="1:1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  <c r="N744" s="31">
        <f t="shared" si="22"/>
        <v>45911</v>
      </c>
      <c r="O744" t="b">
        <f t="shared" si="23"/>
        <v>1</v>
      </c>
    </row>
    <row r="745" spans="1:1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  <c r="N745" s="31">
        <f t="shared" si="22"/>
        <v>45988</v>
      </c>
      <c r="O745" t="b">
        <f t="shared" si="23"/>
        <v>1</v>
      </c>
    </row>
    <row r="746" spans="1:1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  <c r="N746" s="31">
        <f t="shared" si="22"/>
        <v>45974</v>
      </c>
      <c r="O746" t="b">
        <f t="shared" si="23"/>
        <v>1</v>
      </c>
    </row>
    <row r="747" spans="1:1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  <c r="N747" s="31">
        <f t="shared" si="22"/>
        <v>45661</v>
      </c>
      <c r="O747" t="b">
        <f t="shared" si="23"/>
        <v>1</v>
      </c>
    </row>
    <row r="748" spans="1:1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  <c r="N748" s="31">
        <f t="shared" si="22"/>
        <v>45769</v>
      </c>
      <c r="O748" t="b">
        <f t="shared" si="23"/>
        <v>1</v>
      </c>
    </row>
    <row r="749" spans="1:1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  <c r="N749" s="31">
        <f t="shared" si="22"/>
        <v>45770</v>
      </c>
      <c r="O749" t="b">
        <f t="shared" si="23"/>
        <v>1</v>
      </c>
    </row>
    <row r="750" spans="1:1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  <c r="N750" s="31">
        <f t="shared" si="22"/>
        <v>45856</v>
      </c>
      <c r="O750" t="b">
        <f t="shared" si="23"/>
        <v>1</v>
      </c>
    </row>
    <row r="751" spans="1:1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  <c r="N751" s="31">
        <f t="shared" si="22"/>
        <v>45668</v>
      </c>
      <c r="O751" t="b">
        <f t="shared" si="23"/>
        <v>1</v>
      </c>
    </row>
    <row r="752" spans="1:1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  <c r="N752" s="31">
        <f t="shared" si="22"/>
        <v>45728</v>
      </c>
      <c r="O752" t="b">
        <f t="shared" si="23"/>
        <v>1</v>
      </c>
    </row>
    <row r="753" spans="1:1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  <c r="N753" s="31">
        <f t="shared" si="22"/>
        <v>45919</v>
      </c>
      <c r="O753" t="b">
        <f t="shared" si="23"/>
        <v>1</v>
      </c>
    </row>
    <row r="754" spans="1:1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  <c r="N754" s="31">
        <f t="shared" si="22"/>
        <v>45681</v>
      </c>
      <c r="O754" t="b">
        <f t="shared" si="23"/>
        <v>1</v>
      </c>
    </row>
    <row r="755" spans="1:1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  <c r="N755" s="31">
        <f t="shared" si="22"/>
        <v>45980</v>
      </c>
      <c r="O755" t="b">
        <f t="shared" si="23"/>
        <v>1</v>
      </c>
    </row>
    <row r="756" spans="1:1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  <c r="N756" s="31">
        <f t="shared" si="22"/>
        <v>46011</v>
      </c>
      <c r="O756" t="b">
        <f t="shared" si="23"/>
        <v>1</v>
      </c>
    </row>
    <row r="757" spans="1:1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  <c r="N757" s="31">
        <f t="shared" si="22"/>
        <v>45785</v>
      </c>
      <c r="O757" t="b">
        <f t="shared" si="23"/>
        <v>1</v>
      </c>
    </row>
    <row r="758" spans="1:1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  <c r="N758" s="31">
        <f t="shared" si="22"/>
        <v>45963</v>
      </c>
      <c r="O758" t="b">
        <f t="shared" si="23"/>
        <v>1</v>
      </c>
    </row>
    <row r="759" spans="1:1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  <c r="N759" s="31">
        <f t="shared" si="22"/>
        <v>45812</v>
      </c>
      <c r="O759" t="b">
        <f t="shared" si="23"/>
        <v>1</v>
      </c>
    </row>
    <row r="760" spans="1:1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  <c r="N760" s="31">
        <f t="shared" si="22"/>
        <v>46018</v>
      </c>
      <c r="O760" t="b">
        <f t="shared" si="23"/>
        <v>1</v>
      </c>
    </row>
    <row r="761" spans="1:1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  <c r="N761" s="31">
        <f t="shared" si="22"/>
        <v>45932</v>
      </c>
      <c r="O761" t="b">
        <f t="shared" si="23"/>
        <v>1</v>
      </c>
    </row>
    <row r="762" spans="1:1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  <c r="N762" s="31">
        <f t="shared" si="22"/>
        <v>45998</v>
      </c>
      <c r="O762" t="b">
        <f t="shared" si="23"/>
        <v>1</v>
      </c>
    </row>
    <row r="763" spans="1:1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  <c r="N763" s="31">
        <f t="shared" si="22"/>
        <v>45778</v>
      </c>
      <c r="O763" t="b">
        <f t="shared" si="23"/>
        <v>1</v>
      </c>
    </row>
    <row r="764" spans="1:1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  <c r="N764" s="31">
        <f t="shared" si="22"/>
        <v>45943</v>
      </c>
      <c r="O764" t="b">
        <f t="shared" si="23"/>
        <v>1</v>
      </c>
    </row>
    <row r="765" spans="1:1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  <c r="N765" s="31">
        <f t="shared" si="22"/>
        <v>45843</v>
      </c>
      <c r="O765" t="b">
        <f t="shared" si="23"/>
        <v>1</v>
      </c>
    </row>
    <row r="766" spans="1:1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  <c r="N766" s="31">
        <f t="shared" si="22"/>
        <v>45832</v>
      </c>
      <c r="O766" t="b">
        <f t="shared" si="23"/>
        <v>1</v>
      </c>
    </row>
    <row r="767" spans="1:1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  <c r="N767" s="31">
        <f t="shared" si="22"/>
        <v>45747</v>
      </c>
      <c r="O767" t="b">
        <f t="shared" si="23"/>
        <v>1</v>
      </c>
    </row>
    <row r="768" spans="1:1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  <c r="N768" s="31">
        <f t="shared" si="22"/>
        <v>45786</v>
      </c>
      <c r="O768" t="b">
        <f t="shared" si="23"/>
        <v>1</v>
      </c>
    </row>
    <row r="769" spans="1:1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  <c r="N769" s="31">
        <f t="shared" si="22"/>
        <v>45940</v>
      </c>
      <c r="O769" t="b">
        <f t="shared" si="23"/>
        <v>1</v>
      </c>
    </row>
    <row r="770" spans="1:1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  <c r="N770" s="31">
        <f t="shared" si="22"/>
        <v>45665</v>
      </c>
      <c r="O770" t="b">
        <f t="shared" si="23"/>
        <v>1</v>
      </c>
    </row>
    <row r="771" spans="1:1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  <c r="N771" s="31">
        <f t="shared" ref="N771:N834" si="24">DATEVALUE(LEFT(B771,10))</f>
        <v>45961</v>
      </c>
      <c r="O771" t="b">
        <f t="shared" ref="O771:O834" si="25">ISNUMBER(N771)</f>
        <v>1</v>
      </c>
    </row>
    <row r="772" spans="1:1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  <c r="N772" s="31">
        <f t="shared" si="24"/>
        <v>45946</v>
      </c>
      <c r="O772" t="b">
        <f t="shared" si="25"/>
        <v>1</v>
      </c>
    </row>
    <row r="773" spans="1:1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  <c r="N773" s="31">
        <f t="shared" si="24"/>
        <v>45771</v>
      </c>
      <c r="O773" t="b">
        <f t="shared" si="25"/>
        <v>1</v>
      </c>
    </row>
    <row r="774" spans="1:1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  <c r="N774" s="31">
        <f t="shared" si="24"/>
        <v>45936</v>
      </c>
      <c r="O774" t="b">
        <f t="shared" si="25"/>
        <v>1</v>
      </c>
    </row>
    <row r="775" spans="1:1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  <c r="N775" s="31">
        <f t="shared" si="24"/>
        <v>45667</v>
      </c>
      <c r="O775" t="b">
        <f t="shared" si="25"/>
        <v>1</v>
      </c>
    </row>
    <row r="776" spans="1:1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  <c r="N776" s="31">
        <f t="shared" si="24"/>
        <v>45847</v>
      </c>
      <c r="O776" t="b">
        <f t="shared" si="25"/>
        <v>1</v>
      </c>
    </row>
    <row r="777" spans="1:1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  <c r="N777" s="31">
        <f t="shared" si="24"/>
        <v>45704</v>
      </c>
      <c r="O777" t="b">
        <f t="shared" si="25"/>
        <v>1</v>
      </c>
    </row>
    <row r="778" spans="1:1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  <c r="N778" s="31">
        <f t="shared" si="24"/>
        <v>45995</v>
      </c>
      <c r="O778" t="b">
        <f t="shared" si="25"/>
        <v>1</v>
      </c>
    </row>
    <row r="779" spans="1:1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  <c r="N779" s="31">
        <f t="shared" si="24"/>
        <v>45765</v>
      </c>
      <c r="O779" t="b">
        <f t="shared" si="25"/>
        <v>1</v>
      </c>
    </row>
    <row r="780" spans="1:1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  <c r="N780" s="31">
        <f t="shared" si="24"/>
        <v>45867</v>
      </c>
      <c r="O780" t="b">
        <f t="shared" si="25"/>
        <v>1</v>
      </c>
    </row>
    <row r="781" spans="1:1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  <c r="N781" s="31">
        <f t="shared" si="24"/>
        <v>45709</v>
      </c>
      <c r="O781" t="b">
        <f t="shared" si="25"/>
        <v>1</v>
      </c>
    </row>
    <row r="782" spans="1:1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  <c r="N782" s="31">
        <f t="shared" si="24"/>
        <v>46014</v>
      </c>
      <c r="O782" t="b">
        <f t="shared" si="25"/>
        <v>1</v>
      </c>
    </row>
    <row r="783" spans="1:1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  <c r="N783" s="31">
        <f t="shared" si="24"/>
        <v>45920</v>
      </c>
      <c r="O783" t="b">
        <f t="shared" si="25"/>
        <v>1</v>
      </c>
    </row>
    <row r="784" spans="1:1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  <c r="N784" s="31">
        <f t="shared" si="24"/>
        <v>46002</v>
      </c>
      <c r="O784" t="b">
        <f t="shared" si="25"/>
        <v>1</v>
      </c>
    </row>
    <row r="785" spans="1:1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  <c r="N785" s="31">
        <f t="shared" si="24"/>
        <v>45675</v>
      </c>
      <c r="O785" t="b">
        <f t="shared" si="25"/>
        <v>1</v>
      </c>
    </row>
    <row r="786" spans="1:1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  <c r="N786" s="31">
        <f t="shared" si="24"/>
        <v>45944</v>
      </c>
      <c r="O786" t="b">
        <f t="shared" si="25"/>
        <v>1</v>
      </c>
    </row>
    <row r="787" spans="1:1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  <c r="N787" s="31">
        <f t="shared" si="24"/>
        <v>45830</v>
      </c>
      <c r="O787" t="b">
        <f t="shared" si="25"/>
        <v>1</v>
      </c>
    </row>
    <row r="788" spans="1:1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  <c r="N788" s="31">
        <f t="shared" si="24"/>
        <v>45781</v>
      </c>
      <c r="O788" t="b">
        <f t="shared" si="25"/>
        <v>1</v>
      </c>
    </row>
    <row r="789" spans="1:1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  <c r="N789" s="31">
        <f t="shared" si="24"/>
        <v>45851</v>
      </c>
      <c r="O789" t="b">
        <f t="shared" si="25"/>
        <v>1</v>
      </c>
    </row>
    <row r="790" spans="1:1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  <c r="N790" s="31">
        <f t="shared" si="24"/>
        <v>46019</v>
      </c>
      <c r="O790" t="b">
        <f t="shared" si="25"/>
        <v>1</v>
      </c>
    </row>
    <row r="791" spans="1:1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  <c r="N791" s="31">
        <f t="shared" si="24"/>
        <v>45903</v>
      </c>
      <c r="O791" t="b">
        <f t="shared" si="25"/>
        <v>1</v>
      </c>
    </row>
    <row r="792" spans="1:1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  <c r="N792" s="31">
        <f t="shared" si="24"/>
        <v>45798</v>
      </c>
      <c r="O792" t="b">
        <f t="shared" si="25"/>
        <v>1</v>
      </c>
    </row>
    <row r="793" spans="1:1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  <c r="N793" s="31">
        <f t="shared" si="24"/>
        <v>46002</v>
      </c>
      <c r="O793" t="b">
        <f t="shared" si="25"/>
        <v>1</v>
      </c>
    </row>
    <row r="794" spans="1:1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  <c r="N794" s="31">
        <f t="shared" si="24"/>
        <v>45801</v>
      </c>
      <c r="O794" t="b">
        <f t="shared" si="25"/>
        <v>1</v>
      </c>
    </row>
    <row r="795" spans="1:1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  <c r="N795" s="31">
        <f t="shared" si="24"/>
        <v>45687</v>
      </c>
      <c r="O795" t="b">
        <f t="shared" si="25"/>
        <v>1</v>
      </c>
    </row>
    <row r="796" spans="1:1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  <c r="N796" s="31">
        <f t="shared" si="24"/>
        <v>46023</v>
      </c>
      <c r="O796" t="b">
        <f t="shared" si="25"/>
        <v>1</v>
      </c>
    </row>
    <row r="797" spans="1:1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  <c r="N797" s="31">
        <f t="shared" si="24"/>
        <v>45860</v>
      </c>
      <c r="O797" t="b">
        <f t="shared" si="25"/>
        <v>1</v>
      </c>
    </row>
    <row r="798" spans="1:1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  <c r="N798" s="31">
        <f t="shared" si="24"/>
        <v>45839</v>
      </c>
      <c r="O798" t="b">
        <f t="shared" si="25"/>
        <v>1</v>
      </c>
    </row>
    <row r="799" spans="1:1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  <c r="N799" s="31">
        <f t="shared" si="24"/>
        <v>45968</v>
      </c>
      <c r="O799" t="b">
        <f t="shared" si="25"/>
        <v>1</v>
      </c>
    </row>
    <row r="800" spans="1:1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  <c r="N800" s="31">
        <f t="shared" si="24"/>
        <v>45927</v>
      </c>
      <c r="O800" t="b">
        <f t="shared" si="25"/>
        <v>1</v>
      </c>
    </row>
    <row r="801" spans="1:1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  <c r="N801" s="31">
        <f t="shared" si="24"/>
        <v>45787</v>
      </c>
      <c r="O801" t="b">
        <f t="shared" si="25"/>
        <v>1</v>
      </c>
    </row>
    <row r="802" spans="1:1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  <c r="N802" s="31">
        <f t="shared" si="24"/>
        <v>45975</v>
      </c>
      <c r="O802" t="b">
        <f t="shared" si="25"/>
        <v>1</v>
      </c>
    </row>
    <row r="803" spans="1:1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  <c r="N803" s="31">
        <f t="shared" si="24"/>
        <v>45941</v>
      </c>
      <c r="O803" t="b">
        <f t="shared" si="25"/>
        <v>1</v>
      </c>
    </row>
    <row r="804" spans="1:1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  <c r="N804" s="31">
        <f t="shared" si="24"/>
        <v>46002</v>
      </c>
      <c r="O804" t="b">
        <f t="shared" si="25"/>
        <v>1</v>
      </c>
    </row>
    <row r="805" spans="1:1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  <c r="N805" s="31">
        <f t="shared" si="24"/>
        <v>45799</v>
      </c>
      <c r="O805" t="b">
        <f t="shared" si="25"/>
        <v>1</v>
      </c>
    </row>
    <row r="806" spans="1:1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  <c r="N806" s="31">
        <f t="shared" si="24"/>
        <v>45718</v>
      </c>
      <c r="O806" t="b">
        <f t="shared" si="25"/>
        <v>1</v>
      </c>
    </row>
    <row r="807" spans="1:1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  <c r="N807" s="31">
        <f t="shared" si="24"/>
        <v>45935</v>
      </c>
      <c r="O807" t="b">
        <f t="shared" si="25"/>
        <v>1</v>
      </c>
    </row>
    <row r="808" spans="1:1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  <c r="N808" s="31">
        <f t="shared" si="24"/>
        <v>45828</v>
      </c>
      <c r="O808" t="b">
        <f t="shared" si="25"/>
        <v>1</v>
      </c>
    </row>
    <row r="809" spans="1:1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  <c r="N809" s="31">
        <f t="shared" si="24"/>
        <v>45810</v>
      </c>
      <c r="O809" t="b">
        <f t="shared" si="25"/>
        <v>1</v>
      </c>
    </row>
    <row r="810" spans="1:1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  <c r="N810" s="31">
        <f t="shared" si="24"/>
        <v>45812</v>
      </c>
      <c r="O810" t="b">
        <f t="shared" si="25"/>
        <v>1</v>
      </c>
    </row>
    <row r="811" spans="1:1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  <c r="N811" s="31">
        <f t="shared" si="24"/>
        <v>45661</v>
      </c>
      <c r="O811" t="b">
        <f t="shared" si="25"/>
        <v>1</v>
      </c>
    </row>
    <row r="812" spans="1:1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  <c r="N812" s="31">
        <f t="shared" si="24"/>
        <v>45688</v>
      </c>
      <c r="O812" t="b">
        <f t="shared" si="25"/>
        <v>1</v>
      </c>
    </row>
    <row r="813" spans="1:1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  <c r="N813" s="31">
        <f t="shared" si="24"/>
        <v>45791</v>
      </c>
      <c r="O813" t="b">
        <f t="shared" si="25"/>
        <v>1</v>
      </c>
    </row>
    <row r="814" spans="1:1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  <c r="N814" s="31">
        <f t="shared" si="24"/>
        <v>45917</v>
      </c>
      <c r="O814" t="b">
        <f t="shared" si="25"/>
        <v>1</v>
      </c>
    </row>
    <row r="815" spans="1:1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  <c r="N815" s="31">
        <f t="shared" si="24"/>
        <v>45908</v>
      </c>
      <c r="O815" t="b">
        <f t="shared" si="25"/>
        <v>1</v>
      </c>
    </row>
    <row r="816" spans="1:1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  <c r="N816" s="31">
        <f t="shared" si="24"/>
        <v>45812</v>
      </c>
      <c r="O816" t="b">
        <f t="shared" si="25"/>
        <v>1</v>
      </c>
    </row>
    <row r="817" spans="1:1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  <c r="N817" s="31">
        <f t="shared" si="24"/>
        <v>45745</v>
      </c>
      <c r="O817" t="b">
        <f t="shared" si="25"/>
        <v>1</v>
      </c>
    </row>
    <row r="818" spans="1:1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  <c r="N818" s="31">
        <f t="shared" si="24"/>
        <v>45843</v>
      </c>
      <c r="O818" t="b">
        <f t="shared" si="25"/>
        <v>1</v>
      </c>
    </row>
    <row r="819" spans="1:1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  <c r="N819" s="31">
        <f t="shared" si="24"/>
        <v>46000</v>
      </c>
      <c r="O819" t="b">
        <f t="shared" si="25"/>
        <v>1</v>
      </c>
    </row>
    <row r="820" spans="1:1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  <c r="N820" s="31">
        <f t="shared" si="24"/>
        <v>45666</v>
      </c>
      <c r="O820" t="b">
        <f t="shared" si="25"/>
        <v>1</v>
      </c>
    </row>
    <row r="821" spans="1:1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  <c r="N821" s="31">
        <f t="shared" si="24"/>
        <v>45824</v>
      </c>
      <c r="O821" t="b">
        <f t="shared" si="25"/>
        <v>1</v>
      </c>
    </row>
    <row r="822" spans="1:1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  <c r="N822" s="31">
        <f t="shared" si="24"/>
        <v>45915</v>
      </c>
      <c r="O822" t="b">
        <f t="shared" si="25"/>
        <v>1</v>
      </c>
    </row>
    <row r="823" spans="1:1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  <c r="N823" s="31">
        <f t="shared" si="24"/>
        <v>45859</v>
      </c>
      <c r="O823" t="b">
        <f t="shared" si="25"/>
        <v>1</v>
      </c>
    </row>
    <row r="824" spans="1:1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  <c r="N824" s="31">
        <f t="shared" si="24"/>
        <v>45746</v>
      </c>
      <c r="O824" t="b">
        <f t="shared" si="25"/>
        <v>1</v>
      </c>
    </row>
    <row r="825" spans="1:1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  <c r="N825" s="31">
        <f t="shared" si="24"/>
        <v>45851</v>
      </c>
      <c r="O825" t="b">
        <f t="shared" si="25"/>
        <v>1</v>
      </c>
    </row>
    <row r="826" spans="1:1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  <c r="N826" s="31">
        <f t="shared" si="24"/>
        <v>45752</v>
      </c>
      <c r="O826" t="b">
        <f t="shared" si="25"/>
        <v>1</v>
      </c>
    </row>
    <row r="827" spans="1:1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  <c r="N827" s="31">
        <f t="shared" si="24"/>
        <v>45827</v>
      </c>
      <c r="O827" t="b">
        <f t="shared" si="25"/>
        <v>1</v>
      </c>
    </row>
    <row r="828" spans="1:1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  <c r="N828" s="31">
        <f t="shared" si="24"/>
        <v>45964</v>
      </c>
      <c r="O828" t="b">
        <f t="shared" si="25"/>
        <v>1</v>
      </c>
    </row>
    <row r="829" spans="1:1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  <c r="N829" s="31">
        <f t="shared" si="24"/>
        <v>45715</v>
      </c>
      <c r="O829" t="b">
        <f t="shared" si="25"/>
        <v>1</v>
      </c>
    </row>
    <row r="830" spans="1:1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  <c r="N830" s="31">
        <f t="shared" si="24"/>
        <v>45757</v>
      </c>
      <c r="O830" t="b">
        <f t="shared" si="25"/>
        <v>1</v>
      </c>
    </row>
    <row r="831" spans="1:1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  <c r="N831" s="31">
        <f t="shared" si="24"/>
        <v>45666</v>
      </c>
      <c r="O831" t="b">
        <f t="shared" si="25"/>
        <v>1</v>
      </c>
    </row>
    <row r="832" spans="1:1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  <c r="N832" s="31">
        <f t="shared" si="24"/>
        <v>45885</v>
      </c>
      <c r="O832" t="b">
        <f t="shared" si="25"/>
        <v>1</v>
      </c>
    </row>
    <row r="833" spans="1:1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  <c r="N833" s="31">
        <f t="shared" si="24"/>
        <v>45966</v>
      </c>
      <c r="O833" t="b">
        <f t="shared" si="25"/>
        <v>1</v>
      </c>
    </row>
    <row r="834" spans="1:1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  <c r="N834" s="31">
        <f t="shared" si="24"/>
        <v>45994</v>
      </c>
      <c r="O834" t="b">
        <f t="shared" si="25"/>
        <v>1</v>
      </c>
    </row>
    <row r="835" spans="1:1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  <c r="N835" s="31">
        <f t="shared" ref="N835:N898" si="26">DATEVALUE(LEFT(B835,10))</f>
        <v>45737</v>
      </c>
      <c r="O835" t="b">
        <f t="shared" ref="O835:O898" si="27">ISNUMBER(N835)</f>
        <v>1</v>
      </c>
    </row>
    <row r="836" spans="1:1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  <c r="N836" s="31">
        <f t="shared" si="26"/>
        <v>45818</v>
      </c>
      <c r="O836" t="b">
        <f t="shared" si="27"/>
        <v>1</v>
      </c>
    </row>
    <row r="837" spans="1:1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  <c r="N837" s="31">
        <f t="shared" si="26"/>
        <v>45905</v>
      </c>
      <c r="O837" t="b">
        <f t="shared" si="27"/>
        <v>1</v>
      </c>
    </row>
    <row r="838" spans="1:1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  <c r="N838" s="31">
        <f t="shared" si="26"/>
        <v>45988</v>
      </c>
      <c r="O838" t="b">
        <f t="shared" si="27"/>
        <v>1</v>
      </c>
    </row>
    <row r="839" spans="1:1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  <c r="N839" s="31">
        <f t="shared" si="26"/>
        <v>45789</v>
      </c>
      <c r="O839" t="b">
        <f t="shared" si="27"/>
        <v>1</v>
      </c>
    </row>
    <row r="840" spans="1:1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  <c r="N840" s="31">
        <f t="shared" si="26"/>
        <v>45872</v>
      </c>
      <c r="O840" t="b">
        <f t="shared" si="27"/>
        <v>1</v>
      </c>
    </row>
    <row r="841" spans="1:1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  <c r="N841" s="31">
        <f t="shared" si="26"/>
        <v>45763</v>
      </c>
      <c r="O841" t="b">
        <f t="shared" si="27"/>
        <v>1</v>
      </c>
    </row>
    <row r="842" spans="1:1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  <c r="N842" s="31">
        <f t="shared" si="26"/>
        <v>45967</v>
      </c>
      <c r="O842" t="b">
        <f t="shared" si="27"/>
        <v>1</v>
      </c>
    </row>
    <row r="843" spans="1:1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  <c r="N843" s="31">
        <f t="shared" si="26"/>
        <v>45813</v>
      </c>
      <c r="O843" t="b">
        <f t="shared" si="27"/>
        <v>1</v>
      </c>
    </row>
    <row r="844" spans="1:1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  <c r="N844" s="31">
        <f t="shared" si="26"/>
        <v>45891</v>
      </c>
      <c r="O844" t="b">
        <f t="shared" si="27"/>
        <v>1</v>
      </c>
    </row>
    <row r="845" spans="1:1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  <c r="N845" s="31">
        <f t="shared" si="26"/>
        <v>45968</v>
      </c>
      <c r="O845" t="b">
        <f t="shared" si="27"/>
        <v>1</v>
      </c>
    </row>
    <row r="846" spans="1:1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  <c r="N846" s="31">
        <f t="shared" si="26"/>
        <v>45929</v>
      </c>
      <c r="O846" t="b">
        <f t="shared" si="27"/>
        <v>1</v>
      </c>
    </row>
    <row r="847" spans="1:1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  <c r="N847" s="31">
        <f t="shared" si="26"/>
        <v>45969</v>
      </c>
      <c r="O847" t="b">
        <f t="shared" si="27"/>
        <v>1</v>
      </c>
    </row>
    <row r="848" spans="1:1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  <c r="N848" s="31">
        <f t="shared" si="26"/>
        <v>45744</v>
      </c>
      <c r="O848" t="b">
        <f t="shared" si="27"/>
        <v>1</v>
      </c>
    </row>
    <row r="849" spans="1:1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  <c r="N849" s="31">
        <f t="shared" si="26"/>
        <v>45733</v>
      </c>
      <c r="O849" t="b">
        <f t="shared" si="27"/>
        <v>1</v>
      </c>
    </row>
    <row r="850" spans="1:1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  <c r="N850" s="31">
        <f t="shared" si="26"/>
        <v>45759</v>
      </c>
      <c r="O850" t="b">
        <f t="shared" si="27"/>
        <v>1</v>
      </c>
    </row>
    <row r="851" spans="1:1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  <c r="N851" s="31">
        <f t="shared" si="26"/>
        <v>45837</v>
      </c>
      <c r="O851" t="b">
        <f t="shared" si="27"/>
        <v>1</v>
      </c>
    </row>
    <row r="852" spans="1:1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  <c r="N852" s="31">
        <f t="shared" si="26"/>
        <v>45809</v>
      </c>
      <c r="O852" t="b">
        <f t="shared" si="27"/>
        <v>1</v>
      </c>
    </row>
    <row r="853" spans="1:1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  <c r="N853" s="31">
        <f t="shared" si="26"/>
        <v>45733</v>
      </c>
      <c r="O853" t="b">
        <f t="shared" si="27"/>
        <v>1</v>
      </c>
    </row>
    <row r="854" spans="1:1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  <c r="N854" s="31">
        <f t="shared" si="26"/>
        <v>45833</v>
      </c>
      <c r="O854" t="b">
        <f t="shared" si="27"/>
        <v>1</v>
      </c>
    </row>
    <row r="855" spans="1:1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  <c r="N855" s="31">
        <f t="shared" si="26"/>
        <v>45796</v>
      </c>
      <c r="O855" t="b">
        <f t="shared" si="27"/>
        <v>1</v>
      </c>
    </row>
    <row r="856" spans="1:1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  <c r="N856" s="31">
        <f t="shared" si="26"/>
        <v>45803</v>
      </c>
      <c r="O856" t="b">
        <f t="shared" si="27"/>
        <v>1</v>
      </c>
    </row>
    <row r="857" spans="1:1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  <c r="N857" s="31">
        <f t="shared" si="26"/>
        <v>45918</v>
      </c>
      <c r="O857" t="b">
        <f t="shared" si="27"/>
        <v>1</v>
      </c>
    </row>
    <row r="858" spans="1:1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  <c r="N858" s="31">
        <f t="shared" si="26"/>
        <v>46011</v>
      </c>
      <c r="O858" t="b">
        <f t="shared" si="27"/>
        <v>1</v>
      </c>
    </row>
    <row r="859" spans="1:1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  <c r="N859" s="31">
        <f t="shared" si="26"/>
        <v>45866</v>
      </c>
      <c r="O859" t="b">
        <f t="shared" si="27"/>
        <v>1</v>
      </c>
    </row>
    <row r="860" spans="1:1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  <c r="N860" s="31">
        <f t="shared" si="26"/>
        <v>45848</v>
      </c>
      <c r="O860" t="b">
        <f t="shared" si="27"/>
        <v>1</v>
      </c>
    </row>
    <row r="861" spans="1:1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  <c r="N861" s="31">
        <f t="shared" si="26"/>
        <v>45945</v>
      </c>
      <c r="O861" t="b">
        <f t="shared" si="27"/>
        <v>1</v>
      </c>
    </row>
    <row r="862" spans="1:1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  <c r="N862" s="31">
        <f t="shared" si="26"/>
        <v>45928</v>
      </c>
      <c r="O862" t="b">
        <f t="shared" si="27"/>
        <v>1</v>
      </c>
    </row>
    <row r="863" spans="1:1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  <c r="N863" s="31">
        <f t="shared" si="26"/>
        <v>45787</v>
      </c>
      <c r="O863" t="b">
        <f t="shared" si="27"/>
        <v>1</v>
      </c>
    </row>
    <row r="864" spans="1:1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  <c r="N864" s="31">
        <f t="shared" si="26"/>
        <v>45981</v>
      </c>
      <c r="O864" t="b">
        <f t="shared" si="27"/>
        <v>1</v>
      </c>
    </row>
    <row r="865" spans="1:1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  <c r="N865" s="31">
        <f t="shared" si="26"/>
        <v>45858</v>
      </c>
      <c r="O865" t="b">
        <f t="shared" si="27"/>
        <v>1</v>
      </c>
    </row>
    <row r="866" spans="1:1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  <c r="N866" s="31">
        <f t="shared" si="26"/>
        <v>46014</v>
      </c>
      <c r="O866" t="b">
        <f t="shared" si="27"/>
        <v>1</v>
      </c>
    </row>
    <row r="867" spans="1:1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  <c r="N867" s="31">
        <f t="shared" si="26"/>
        <v>45666</v>
      </c>
      <c r="O867" t="b">
        <f t="shared" si="27"/>
        <v>1</v>
      </c>
    </row>
    <row r="868" spans="1:1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  <c r="N868" s="31">
        <f t="shared" si="26"/>
        <v>45822</v>
      </c>
      <c r="O868" t="b">
        <f t="shared" si="27"/>
        <v>1</v>
      </c>
    </row>
    <row r="869" spans="1:1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  <c r="N869" s="31">
        <f t="shared" si="26"/>
        <v>46012</v>
      </c>
      <c r="O869" t="b">
        <f t="shared" si="27"/>
        <v>1</v>
      </c>
    </row>
    <row r="870" spans="1:1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  <c r="N870" s="31">
        <f t="shared" si="26"/>
        <v>45912</v>
      </c>
      <c r="O870" t="b">
        <f t="shared" si="27"/>
        <v>1</v>
      </c>
    </row>
    <row r="871" spans="1:1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  <c r="N871" s="31">
        <f t="shared" si="26"/>
        <v>45732</v>
      </c>
      <c r="O871" t="b">
        <f t="shared" si="27"/>
        <v>1</v>
      </c>
    </row>
    <row r="872" spans="1:1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  <c r="N872" s="31">
        <f t="shared" si="26"/>
        <v>46014</v>
      </c>
      <c r="O872" t="b">
        <f t="shared" si="27"/>
        <v>1</v>
      </c>
    </row>
    <row r="873" spans="1:1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  <c r="N873" s="31">
        <f t="shared" si="26"/>
        <v>45979</v>
      </c>
      <c r="O873" t="b">
        <f t="shared" si="27"/>
        <v>1</v>
      </c>
    </row>
    <row r="874" spans="1:1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  <c r="N874" s="31">
        <f t="shared" si="26"/>
        <v>46003</v>
      </c>
      <c r="O874" t="b">
        <f t="shared" si="27"/>
        <v>1</v>
      </c>
    </row>
    <row r="875" spans="1:1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  <c r="N875" s="31">
        <f t="shared" si="26"/>
        <v>45942</v>
      </c>
      <c r="O875" t="b">
        <f t="shared" si="27"/>
        <v>1</v>
      </c>
    </row>
    <row r="876" spans="1:1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  <c r="N876" s="31">
        <f t="shared" si="26"/>
        <v>45991</v>
      </c>
      <c r="O876" t="b">
        <f t="shared" si="27"/>
        <v>1</v>
      </c>
    </row>
    <row r="877" spans="1:1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  <c r="N877" s="31">
        <f t="shared" si="26"/>
        <v>46010</v>
      </c>
      <c r="O877" t="b">
        <f t="shared" si="27"/>
        <v>1</v>
      </c>
    </row>
    <row r="878" spans="1:1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  <c r="N878" s="31">
        <f t="shared" si="26"/>
        <v>45986</v>
      </c>
      <c r="O878" t="b">
        <f t="shared" si="27"/>
        <v>1</v>
      </c>
    </row>
    <row r="879" spans="1:1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  <c r="N879" s="31">
        <f t="shared" si="26"/>
        <v>45795</v>
      </c>
      <c r="O879" t="b">
        <f t="shared" si="27"/>
        <v>1</v>
      </c>
    </row>
    <row r="880" spans="1:1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  <c r="N880" s="31">
        <f t="shared" si="26"/>
        <v>45938</v>
      </c>
      <c r="O880" t="b">
        <f t="shared" si="27"/>
        <v>1</v>
      </c>
    </row>
    <row r="881" spans="1:1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  <c r="N881" s="31">
        <f t="shared" si="26"/>
        <v>45835</v>
      </c>
      <c r="O881" t="b">
        <f t="shared" si="27"/>
        <v>1</v>
      </c>
    </row>
    <row r="882" spans="1:1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  <c r="N882" s="31">
        <f t="shared" si="26"/>
        <v>45891</v>
      </c>
      <c r="O882" t="b">
        <f t="shared" si="27"/>
        <v>1</v>
      </c>
    </row>
    <row r="883" spans="1:1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  <c r="N883" s="31">
        <f t="shared" si="26"/>
        <v>45811</v>
      </c>
      <c r="O883" t="b">
        <f t="shared" si="27"/>
        <v>1</v>
      </c>
    </row>
    <row r="884" spans="1:1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  <c r="N884" s="31">
        <f t="shared" si="26"/>
        <v>45723</v>
      </c>
      <c r="O884" t="b">
        <f t="shared" si="27"/>
        <v>1</v>
      </c>
    </row>
    <row r="885" spans="1:1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  <c r="N885" s="31">
        <f t="shared" si="26"/>
        <v>45784</v>
      </c>
      <c r="O885" t="b">
        <f t="shared" si="27"/>
        <v>1</v>
      </c>
    </row>
    <row r="886" spans="1:1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  <c r="N886" s="31">
        <f t="shared" si="26"/>
        <v>45881</v>
      </c>
      <c r="O886" t="b">
        <f t="shared" si="27"/>
        <v>1</v>
      </c>
    </row>
    <row r="887" spans="1:1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  <c r="N887" s="31">
        <f t="shared" si="26"/>
        <v>45672</v>
      </c>
      <c r="O887" t="b">
        <f t="shared" si="27"/>
        <v>1</v>
      </c>
    </row>
    <row r="888" spans="1:1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  <c r="N888" s="31">
        <f t="shared" si="26"/>
        <v>45987</v>
      </c>
      <c r="O888" t="b">
        <f t="shared" si="27"/>
        <v>1</v>
      </c>
    </row>
    <row r="889" spans="1:1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  <c r="N889" s="31">
        <f t="shared" si="26"/>
        <v>45741</v>
      </c>
      <c r="O889" t="b">
        <f t="shared" si="27"/>
        <v>1</v>
      </c>
    </row>
    <row r="890" spans="1:1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  <c r="N890" s="31">
        <f t="shared" si="26"/>
        <v>45899</v>
      </c>
      <c r="O890" t="b">
        <f t="shared" si="27"/>
        <v>1</v>
      </c>
    </row>
    <row r="891" spans="1:1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  <c r="N891" s="31">
        <f t="shared" si="26"/>
        <v>45699</v>
      </c>
      <c r="O891" t="b">
        <f t="shared" si="27"/>
        <v>1</v>
      </c>
    </row>
    <row r="892" spans="1:1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  <c r="N892" s="31">
        <f t="shared" si="26"/>
        <v>45773</v>
      </c>
      <c r="O892" t="b">
        <f t="shared" si="27"/>
        <v>1</v>
      </c>
    </row>
    <row r="893" spans="1:1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  <c r="N893" s="31">
        <f t="shared" si="26"/>
        <v>45795</v>
      </c>
      <c r="O893" t="b">
        <f t="shared" si="27"/>
        <v>1</v>
      </c>
    </row>
    <row r="894" spans="1:1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  <c r="N894" s="31">
        <f t="shared" si="26"/>
        <v>45992</v>
      </c>
      <c r="O894" t="b">
        <f t="shared" si="27"/>
        <v>1</v>
      </c>
    </row>
    <row r="895" spans="1:1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  <c r="N895" s="31">
        <f t="shared" si="26"/>
        <v>45950</v>
      </c>
      <c r="O895" t="b">
        <f t="shared" si="27"/>
        <v>1</v>
      </c>
    </row>
    <row r="896" spans="1:1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  <c r="N896" s="31">
        <f t="shared" si="26"/>
        <v>45966</v>
      </c>
      <c r="O896" t="b">
        <f t="shared" si="27"/>
        <v>1</v>
      </c>
    </row>
    <row r="897" spans="1:1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  <c r="N897" s="31">
        <f t="shared" si="26"/>
        <v>45815</v>
      </c>
      <c r="O897" t="b">
        <f t="shared" si="27"/>
        <v>1</v>
      </c>
    </row>
    <row r="898" spans="1:1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  <c r="N898" s="31">
        <f t="shared" si="26"/>
        <v>45963</v>
      </c>
      <c r="O898" t="b">
        <f t="shared" si="27"/>
        <v>1</v>
      </c>
    </row>
    <row r="899" spans="1:1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  <c r="N899" s="31">
        <f t="shared" ref="N899:N962" si="28">DATEVALUE(LEFT(B899,10))</f>
        <v>46006</v>
      </c>
      <c r="O899" t="b">
        <f t="shared" ref="O899:O962" si="29">ISNUMBER(N899)</f>
        <v>1</v>
      </c>
    </row>
    <row r="900" spans="1:1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  <c r="N900" s="31">
        <f t="shared" si="28"/>
        <v>45774</v>
      </c>
      <c r="O900" t="b">
        <f t="shared" si="29"/>
        <v>1</v>
      </c>
    </row>
    <row r="901" spans="1:1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  <c r="N901" s="31">
        <f t="shared" si="28"/>
        <v>45951</v>
      </c>
      <c r="O901" t="b">
        <f t="shared" si="29"/>
        <v>1</v>
      </c>
    </row>
    <row r="902" spans="1:1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  <c r="N902" s="31">
        <f t="shared" si="28"/>
        <v>45980</v>
      </c>
      <c r="O902" t="b">
        <f t="shared" si="29"/>
        <v>1</v>
      </c>
    </row>
    <row r="903" spans="1:1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  <c r="N903" s="31">
        <f t="shared" si="28"/>
        <v>45973</v>
      </c>
      <c r="O903" t="b">
        <f t="shared" si="29"/>
        <v>1</v>
      </c>
    </row>
    <row r="904" spans="1:1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  <c r="N904" s="31">
        <f t="shared" si="28"/>
        <v>45741</v>
      </c>
      <c r="O904" t="b">
        <f t="shared" si="29"/>
        <v>1</v>
      </c>
    </row>
    <row r="905" spans="1:1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  <c r="N905" s="31">
        <f t="shared" si="28"/>
        <v>45668</v>
      </c>
      <c r="O905" t="b">
        <f t="shared" si="29"/>
        <v>1</v>
      </c>
    </row>
    <row r="906" spans="1:1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  <c r="N906" s="31">
        <f t="shared" si="28"/>
        <v>45992</v>
      </c>
      <c r="O906" t="b">
        <f t="shared" si="29"/>
        <v>1</v>
      </c>
    </row>
    <row r="907" spans="1:1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  <c r="N907" s="31">
        <f t="shared" si="28"/>
        <v>45676</v>
      </c>
      <c r="O907" t="b">
        <f t="shared" si="29"/>
        <v>1</v>
      </c>
    </row>
    <row r="908" spans="1:1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  <c r="N908" s="31">
        <f t="shared" si="28"/>
        <v>45702</v>
      </c>
      <c r="O908" t="b">
        <f t="shared" si="29"/>
        <v>1</v>
      </c>
    </row>
    <row r="909" spans="1:1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  <c r="N909" s="31">
        <f t="shared" si="28"/>
        <v>45882</v>
      </c>
      <c r="O909" t="b">
        <f t="shared" si="29"/>
        <v>1</v>
      </c>
    </row>
    <row r="910" spans="1:1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  <c r="N910" s="31">
        <f t="shared" si="28"/>
        <v>45866</v>
      </c>
      <c r="O910" t="b">
        <f t="shared" si="29"/>
        <v>1</v>
      </c>
    </row>
    <row r="911" spans="1:1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  <c r="N911" s="31">
        <f t="shared" si="28"/>
        <v>45814</v>
      </c>
      <c r="O911" t="b">
        <f t="shared" si="29"/>
        <v>1</v>
      </c>
    </row>
    <row r="912" spans="1:1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  <c r="N912" s="31">
        <f t="shared" si="28"/>
        <v>45698</v>
      </c>
      <c r="O912" t="b">
        <f t="shared" si="29"/>
        <v>1</v>
      </c>
    </row>
    <row r="913" spans="1:1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  <c r="N913" s="31">
        <f t="shared" si="28"/>
        <v>45781</v>
      </c>
      <c r="O913" t="b">
        <f t="shared" si="29"/>
        <v>1</v>
      </c>
    </row>
    <row r="914" spans="1:1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  <c r="N914" s="31">
        <f t="shared" si="28"/>
        <v>45866</v>
      </c>
      <c r="O914" t="b">
        <f t="shared" si="29"/>
        <v>1</v>
      </c>
    </row>
    <row r="915" spans="1:1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  <c r="N915" s="31">
        <f t="shared" si="28"/>
        <v>45798</v>
      </c>
      <c r="O915" t="b">
        <f t="shared" si="29"/>
        <v>1</v>
      </c>
    </row>
    <row r="916" spans="1:1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  <c r="N916" s="31">
        <f t="shared" si="28"/>
        <v>45715</v>
      </c>
      <c r="O916" t="b">
        <f t="shared" si="29"/>
        <v>1</v>
      </c>
    </row>
    <row r="917" spans="1:1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  <c r="N917" s="31">
        <f t="shared" si="28"/>
        <v>45750</v>
      </c>
      <c r="O917" t="b">
        <f t="shared" si="29"/>
        <v>1</v>
      </c>
    </row>
    <row r="918" spans="1:1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  <c r="N918" s="31">
        <f t="shared" si="28"/>
        <v>45967</v>
      </c>
      <c r="O918" t="b">
        <f t="shared" si="29"/>
        <v>1</v>
      </c>
    </row>
    <row r="919" spans="1:1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  <c r="N919" s="31">
        <f t="shared" si="28"/>
        <v>45980</v>
      </c>
      <c r="O919" t="b">
        <f t="shared" si="29"/>
        <v>1</v>
      </c>
    </row>
    <row r="920" spans="1:1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  <c r="N920" s="31">
        <f t="shared" si="28"/>
        <v>45999</v>
      </c>
      <c r="O920" t="b">
        <f t="shared" si="29"/>
        <v>1</v>
      </c>
    </row>
    <row r="921" spans="1:1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  <c r="N921" s="31">
        <f t="shared" si="28"/>
        <v>45783</v>
      </c>
      <c r="O921" t="b">
        <f t="shared" si="29"/>
        <v>1</v>
      </c>
    </row>
    <row r="922" spans="1:1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  <c r="N922" s="31">
        <f t="shared" si="28"/>
        <v>45949</v>
      </c>
      <c r="O922" t="b">
        <f t="shared" si="29"/>
        <v>1</v>
      </c>
    </row>
    <row r="923" spans="1:1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  <c r="N923" s="31">
        <f t="shared" si="28"/>
        <v>45938</v>
      </c>
      <c r="O923" t="b">
        <f t="shared" si="29"/>
        <v>1</v>
      </c>
    </row>
    <row r="924" spans="1:1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  <c r="N924" s="31">
        <f t="shared" si="28"/>
        <v>45974</v>
      </c>
      <c r="O924" t="b">
        <f t="shared" si="29"/>
        <v>1</v>
      </c>
    </row>
    <row r="925" spans="1:1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  <c r="N925" s="31">
        <f t="shared" si="28"/>
        <v>45818</v>
      </c>
      <c r="O925" t="b">
        <f t="shared" si="29"/>
        <v>1</v>
      </c>
    </row>
    <row r="926" spans="1:1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  <c r="N926" s="31">
        <f t="shared" si="28"/>
        <v>46015</v>
      </c>
      <c r="O926" t="b">
        <f t="shared" si="29"/>
        <v>1</v>
      </c>
    </row>
    <row r="927" spans="1:1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  <c r="N927" s="31">
        <f t="shared" si="28"/>
        <v>45688</v>
      </c>
      <c r="O927" t="b">
        <f t="shared" si="29"/>
        <v>1</v>
      </c>
    </row>
    <row r="928" spans="1:1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  <c r="N928" s="31">
        <f t="shared" si="28"/>
        <v>45872</v>
      </c>
      <c r="O928" t="b">
        <f t="shared" si="29"/>
        <v>1</v>
      </c>
    </row>
    <row r="929" spans="1:1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  <c r="N929" s="31">
        <f t="shared" si="28"/>
        <v>45898</v>
      </c>
      <c r="O929" t="b">
        <f t="shared" si="29"/>
        <v>1</v>
      </c>
    </row>
    <row r="930" spans="1:1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  <c r="N930" s="31">
        <f t="shared" si="28"/>
        <v>45998</v>
      </c>
      <c r="O930" t="b">
        <f t="shared" si="29"/>
        <v>1</v>
      </c>
    </row>
    <row r="931" spans="1:1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  <c r="N931" s="31">
        <f t="shared" si="28"/>
        <v>45675</v>
      </c>
      <c r="O931" t="b">
        <f t="shared" si="29"/>
        <v>1</v>
      </c>
    </row>
    <row r="932" spans="1:1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  <c r="N932" s="31">
        <f t="shared" si="28"/>
        <v>45873</v>
      </c>
      <c r="O932" t="b">
        <f t="shared" si="29"/>
        <v>1</v>
      </c>
    </row>
    <row r="933" spans="1:1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  <c r="N933" s="31">
        <f t="shared" si="28"/>
        <v>45678</v>
      </c>
      <c r="O933" t="b">
        <f t="shared" si="29"/>
        <v>1</v>
      </c>
    </row>
    <row r="934" spans="1:1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  <c r="N934" s="31">
        <f t="shared" si="28"/>
        <v>45749</v>
      </c>
      <c r="O934" t="b">
        <f t="shared" si="29"/>
        <v>1</v>
      </c>
    </row>
    <row r="935" spans="1:1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  <c r="N935" s="31">
        <f t="shared" si="28"/>
        <v>45962</v>
      </c>
      <c r="O935" t="b">
        <f t="shared" si="29"/>
        <v>1</v>
      </c>
    </row>
    <row r="936" spans="1:1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  <c r="N936" s="31">
        <f t="shared" si="28"/>
        <v>45971</v>
      </c>
      <c r="O936" t="b">
        <f t="shared" si="29"/>
        <v>1</v>
      </c>
    </row>
    <row r="937" spans="1:1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  <c r="N937" s="31">
        <f t="shared" si="28"/>
        <v>45952</v>
      </c>
      <c r="O937" t="b">
        <f t="shared" si="29"/>
        <v>1</v>
      </c>
    </row>
    <row r="938" spans="1:1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  <c r="N938" s="31">
        <f t="shared" si="28"/>
        <v>45928</v>
      </c>
      <c r="O938" t="b">
        <f t="shared" si="29"/>
        <v>1</v>
      </c>
    </row>
    <row r="939" spans="1:1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  <c r="N939" s="31">
        <f t="shared" si="28"/>
        <v>46004</v>
      </c>
      <c r="O939" t="b">
        <f t="shared" si="29"/>
        <v>1</v>
      </c>
    </row>
    <row r="940" spans="1:1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  <c r="N940" s="31">
        <f t="shared" si="28"/>
        <v>45891</v>
      </c>
      <c r="O940" t="b">
        <f t="shared" si="29"/>
        <v>1</v>
      </c>
    </row>
    <row r="941" spans="1:1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  <c r="N941" s="31">
        <f t="shared" si="28"/>
        <v>45819</v>
      </c>
      <c r="O941" t="b">
        <f t="shared" si="29"/>
        <v>1</v>
      </c>
    </row>
    <row r="942" spans="1:1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  <c r="N942" s="31">
        <f t="shared" si="28"/>
        <v>45749</v>
      </c>
      <c r="O942" t="b">
        <f t="shared" si="29"/>
        <v>1</v>
      </c>
    </row>
    <row r="943" spans="1:1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  <c r="N943" s="31">
        <f t="shared" si="28"/>
        <v>45865</v>
      </c>
      <c r="O943" t="b">
        <f t="shared" si="29"/>
        <v>1</v>
      </c>
    </row>
    <row r="944" spans="1:1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  <c r="N944" s="31">
        <f t="shared" si="28"/>
        <v>45851</v>
      </c>
      <c r="O944" t="b">
        <f t="shared" si="29"/>
        <v>1</v>
      </c>
    </row>
    <row r="945" spans="1:1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  <c r="N945" s="31">
        <f t="shared" si="28"/>
        <v>45881</v>
      </c>
      <c r="O945" t="b">
        <f t="shared" si="29"/>
        <v>1</v>
      </c>
    </row>
    <row r="946" spans="1:1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  <c r="N946" s="31">
        <f t="shared" si="28"/>
        <v>45836</v>
      </c>
      <c r="O946" t="b">
        <f t="shared" si="29"/>
        <v>1</v>
      </c>
    </row>
    <row r="947" spans="1:1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  <c r="N947" s="31">
        <f t="shared" si="28"/>
        <v>45873</v>
      </c>
      <c r="O947" t="b">
        <f t="shared" si="29"/>
        <v>1</v>
      </c>
    </row>
    <row r="948" spans="1:1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  <c r="N948" s="31">
        <f t="shared" si="28"/>
        <v>45712</v>
      </c>
      <c r="O948" t="b">
        <f t="shared" si="29"/>
        <v>1</v>
      </c>
    </row>
    <row r="949" spans="1:1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  <c r="N949" s="31">
        <f t="shared" si="28"/>
        <v>45794</v>
      </c>
      <c r="O949" t="b">
        <f t="shared" si="29"/>
        <v>1</v>
      </c>
    </row>
    <row r="950" spans="1:1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  <c r="N950" s="31">
        <f t="shared" si="28"/>
        <v>45962</v>
      </c>
      <c r="O950" t="b">
        <f t="shared" si="29"/>
        <v>1</v>
      </c>
    </row>
    <row r="951" spans="1:1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  <c r="N951" s="31">
        <f t="shared" si="28"/>
        <v>45794</v>
      </c>
      <c r="O951" t="b">
        <f t="shared" si="29"/>
        <v>1</v>
      </c>
    </row>
    <row r="952" spans="1:1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  <c r="N952" s="31">
        <f t="shared" si="28"/>
        <v>45701</v>
      </c>
      <c r="O952" t="b">
        <f t="shared" si="29"/>
        <v>1</v>
      </c>
    </row>
    <row r="953" spans="1:1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  <c r="N953" s="31">
        <f t="shared" si="28"/>
        <v>45763</v>
      </c>
      <c r="O953" t="b">
        <f t="shared" si="29"/>
        <v>1</v>
      </c>
    </row>
    <row r="954" spans="1:1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  <c r="N954" s="31">
        <f t="shared" si="28"/>
        <v>45880</v>
      </c>
      <c r="O954" t="b">
        <f t="shared" si="29"/>
        <v>1</v>
      </c>
    </row>
    <row r="955" spans="1:1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  <c r="N955" s="31">
        <f t="shared" si="28"/>
        <v>45824</v>
      </c>
      <c r="O955" t="b">
        <f t="shared" si="29"/>
        <v>1</v>
      </c>
    </row>
    <row r="956" spans="1:1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  <c r="N956" s="31">
        <f t="shared" si="28"/>
        <v>46001</v>
      </c>
      <c r="O956" t="b">
        <f t="shared" si="29"/>
        <v>1</v>
      </c>
    </row>
    <row r="957" spans="1:1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  <c r="N957" s="31">
        <f t="shared" si="28"/>
        <v>45723</v>
      </c>
      <c r="O957" t="b">
        <f t="shared" si="29"/>
        <v>1</v>
      </c>
    </row>
    <row r="958" spans="1:1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  <c r="N958" s="31">
        <f t="shared" si="28"/>
        <v>45757</v>
      </c>
      <c r="O958" t="b">
        <f t="shared" si="29"/>
        <v>1</v>
      </c>
    </row>
    <row r="959" spans="1:1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  <c r="N959" s="31">
        <f t="shared" si="28"/>
        <v>45666</v>
      </c>
      <c r="O959" t="b">
        <f t="shared" si="29"/>
        <v>1</v>
      </c>
    </row>
    <row r="960" spans="1:1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  <c r="N960" s="31">
        <f t="shared" si="28"/>
        <v>45697</v>
      </c>
      <c r="O960" t="b">
        <f t="shared" si="29"/>
        <v>1</v>
      </c>
    </row>
    <row r="961" spans="1:1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  <c r="N961" s="31">
        <f t="shared" si="28"/>
        <v>45961</v>
      </c>
      <c r="O961" t="b">
        <f t="shared" si="29"/>
        <v>1</v>
      </c>
    </row>
    <row r="962" spans="1:1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  <c r="N962" s="31">
        <f t="shared" si="28"/>
        <v>45767</v>
      </c>
      <c r="O962" t="b">
        <f t="shared" si="29"/>
        <v>1</v>
      </c>
    </row>
    <row r="963" spans="1:1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  <c r="N963" s="31">
        <f t="shared" ref="N963:N1001" si="30">DATEVALUE(LEFT(B963,10))</f>
        <v>46000</v>
      </c>
      <c r="O963" t="b">
        <f t="shared" ref="O963:O1001" si="31">ISNUMBER(N963)</f>
        <v>1</v>
      </c>
    </row>
    <row r="964" spans="1:1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  <c r="N964" s="31">
        <f t="shared" si="30"/>
        <v>45999</v>
      </c>
      <c r="O964" t="b">
        <f t="shared" si="31"/>
        <v>1</v>
      </c>
    </row>
    <row r="965" spans="1:1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  <c r="N965" s="31">
        <f t="shared" si="30"/>
        <v>45902</v>
      </c>
      <c r="O965" t="b">
        <f t="shared" si="31"/>
        <v>1</v>
      </c>
    </row>
    <row r="966" spans="1:1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  <c r="N966" s="31">
        <f t="shared" si="30"/>
        <v>45790</v>
      </c>
      <c r="O966" t="b">
        <f t="shared" si="31"/>
        <v>1</v>
      </c>
    </row>
    <row r="967" spans="1:1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  <c r="N967" s="31">
        <f t="shared" si="30"/>
        <v>45843</v>
      </c>
      <c r="O967" t="b">
        <f t="shared" si="31"/>
        <v>1</v>
      </c>
    </row>
    <row r="968" spans="1:1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  <c r="N968" s="31">
        <f t="shared" si="30"/>
        <v>45703</v>
      </c>
      <c r="O968" t="b">
        <f t="shared" si="31"/>
        <v>1</v>
      </c>
    </row>
    <row r="969" spans="1:1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  <c r="N969" s="31">
        <f t="shared" si="30"/>
        <v>45859</v>
      </c>
      <c r="O969" t="b">
        <f t="shared" si="31"/>
        <v>1</v>
      </c>
    </row>
    <row r="970" spans="1:1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  <c r="N970" s="31">
        <f t="shared" si="30"/>
        <v>45877</v>
      </c>
      <c r="O970" t="b">
        <f t="shared" si="31"/>
        <v>1</v>
      </c>
    </row>
    <row r="971" spans="1:1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  <c r="N971" s="31">
        <f t="shared" si="30"/>
        <v>45710</v>
      </c>
      <c r="O971" t="b">
        <f t="shared" si="31"/>
        <v>1</v>
      </c>
    </row>
    <row r="972" spans="1:1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  <c r="N972" s="31">
        <f t="shared" si="30"/>
        <v>45905</v>
      </c>
      <c r="O972" t="b">
        <f t="shared" si="31"/>
        <v>1</v>
      </c>
    </row>
    <row r="973" spans="1:1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  <c r="N973" s="31">
        <f t="shared" si="30"/>
        <v>45966</v>
      </c>
      <c r="O973" t="b">
        <f t="shared" si="31"/>
        <v>1</v>
      </c>
    </row>
    <row r="974" spans="1:1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  <c r="N974" s="31">
        <f t="shared" si="30"/>
        <v>45866</v>
      </c>
      <c r="O974" t="b">
        <f t="shared" si="31"/>
        <v>1</v>
      </c>
    </row>
    <row r="975" spans="1:1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  <c r="N975" s="31">
        <f t="shared" si="30"/>
        <v>45945</v>
      </c>
      <c r="O975" t="b">
        <f t="shared" si="31"/>
        <v>1</v>
      </c>
    </row>
    <row r="976" spans="1:1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  <c r="N976" s="31">
        <f t="shared" si="30"/>
        <v>45806</v>
      </c>
      <c r="O976" t="b">
        <f t="shared" si="31"/>
        <v>1</v>
      </c>
    </row>
    <row r="977" spans="1:1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  <c r="N977" s="31">
        <f t="shared" si="30"/>
        <v>45946</v>
      </c>
      <c r="O977" t="b">
        <f t="shared" si="31"/>
        <v>1</v>
      </c>
    </row>
    <row r="978" spans="1:1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  <c r="N978" s="31">
        <f t="shared" si="30"/>
        <v>45708</v>
      </c>
      <c r="O978" t="b">
        <f t="shared" si="31"/>
        <v>1</v>
      </c>
    </row>
    <row r="979" spans="1:1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  <c r="N979" s="31">
        <f t="shared" si="30"/>
        <v>45821</v>
      </c>
      <c r="O979" t="b">
        <f t="shared" si="31"/>
        <v>1</v>
      </c>
    </row>
    <row r="980" spans="1:1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  <c r="N980" s="31">
        <f t="shared" si="30"/>
        <v>45983</v>
      </c>
      <c r="O980" t="b">
        <f t="shared" si="31"/>
        <v>1</v>
      </c>
    </row>
    <row r="981" spans="1:1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  <c r="N981" s="31">
        <f t="shared" si="30"/>
        <v>45872</v>
      </c>
      <c r="O981" t="b">
        <f t="shared" si="31"/>
        <v>1</v>
      </c>
    </row>
    <row r="982" spans="1:1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  <c r="N982" s="31">
        <f t="shared" si="30"/>
        <v>45746</v>
      </c>
      <c r="O982" t="b">
        <f t="shared" si="31"/>
        <v>1</v>
      </c>
    </row>
    <row r="983" spans="1:1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  <c r="N983" s="31">
        <f t="shared" si="30"/>
        <v>45903</v>
      </c>
      <c r="O983" t="b">
        <f t="shared" si="31"/>
        <v>1</v>
      </c>
    </row>
    <row r="984" spans="1:1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  <c r="N984" s="31">
        <f t="shared" si="30"/>
        <v>45968</v>
      </c>
      <c r="O984" t="b">
        <f t="shared" si="31"/>
        <v>1</v>
      </c>
    </row>
    <row r="985" spans="1:1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  <c r="N985" s="31">
        <f t="shared" si="30"/>
        <v>45796</v>
      </c>
      <c r="O985" t="b">
        <f t="shared" si="31"/>
        <v>1</v>
      </c>
    </row>
    <row r="986" spans="1:1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  <c r="N986" s="31">
        <f t="shared" si="30"/>
        <v>45743</v>
      </c>
      <c r="O986" t="b">
        <f t="shared" si="31"/>
        <v>1</v>
      </c>
    </row>
    <row r="987" spans="1:1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  <c r="N987" s="31">
        <f t="shared" si="30"/>
        <v>45732</v>
      </c>
      <c r="O987" t="b">
        <f t="shared" si="31"/>
        <v>1</v>
      </c>
    </row>
    <row r="988" spans="1:1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  <c r="N988" s="31">
        <f t="shared" si="30"/>
        <v>46007</v>
      </c>
      <c r="O988" t="b">
        <f t="shared" si="31"/>
        <v>1</v>
      </c>
    </row>
    <row r="989" spans="1:1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  <c r="N989" s="31">
        <f t="shared" si="30"/>
        <v>45948</v>
      </c>
      <c r="O989" t="b">
        <f t="shared" si="31"/>
        <v>1</v>
      </c>
    </row>
    <row r="990" spans="1:1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  <c r="N990" s="31">
        <f t="shared" si="30"/>
        <v>45761</v>
      </c>
      <c r="O990" t="b">
        <f t="shared" si="31"/>
        <v>1</v>
      </c>
    </row>
    <row r="991" spans="1:1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  <c r="N991" s="31">
        <f t="shared" si="30"/>
        <v>45716</v>
      </c>
      <c r="O991" t="b">
        <f t="shared" si="31"/>
        <v>1</v>
      </c>
    </row>
    <row r="992" spans="1:1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  <c r="N992" s="31">
        <f t="shared" si="30"/>
        <v>45889</v>
      </c>
      <c r="O992" t="b">
        <f t="shared" si="31"/>
        <v>1</v>
      </c>
    </row>
    <row r="993" spans="1:1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  <c r="N993" s="31">
        <f t="shared" si="30"/>
        <v>45824</v>
      </c>
      <c r="O993" t="b">
        <f t="shared" si="31"/>
        <v>1</v>
      </c>
    </row>
    <row r="994" spans="1:1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  <c r="N994" s="31">
        <f t="shared" si="30"/>
        <v>45849</v>
      </c>
      <c r="O994" t="b">
        <f t="shared" si="31"/>
        <v>1</v>
      </c>
    </row>
    <row r="995" spans="1:1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  <c r="N995" s="31">
        <f t="shared" si="30"/>
        <v>45868</v>
      </c>
      <c r="O995" t="b">
        <f t="shared" si="31"/>
        <v>1</v>
      </c>
    </row>
    <row r="996" spans="1:1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  <c r="N996" s="31">
        <f t="shared" si="30"/>
        <v>45820</v>
      </c>
      <c r="O996" t="b">
        <f t="shared" si="31"/>
        <v>1</v>
      </c>
    </row>
    <row r="997" spans="1:1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  <c r="N997" s="31">
        <f t="shared" si="30"/>
        <v>45968</v>
      </c>
      <c r="O997" t="b">
        <f t="shared" si="31"/>
        <v>1</v>
      </c>
    </row>
    <row r="998" spans="1:1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  <c r="N998" s="31">
        <f t="shared" si="30"/>
        <v>45903</v>
      </c>
      <c r="O998" t="b">
        <f t="shared" si="31"/>
        <v>1</v>
      </c>
    </row>
    <row r="999" spans="1:1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  <c r="N999" s="31">
        <f t="shared" si="30"/>
        <v>45930</v>
      </c>
      <c r="O999" t="b">
        <f t="shared" si="31"/>
        <v>1</v>
      </c>
    </row>
    <row r="1000" spans="1:1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  <c r="N1000" s="31">
        <f t="shared" si="30"/>
        <v>45709</v>
      </c>
      <c r="O1000" t="b">
        <f t="shared" si="31"/>
        <v>1</v>
      </c>
    </row>
    <row r="1001" spans="1:1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  <c r="N1001" s="31">
        <f t="shared" si="30"/>
        <v>45770</v>
      </c>
      <c r="O1001" t="b">
        <f t="shared" si="31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0D97-906B-45D1-9642-34688A28387E}">
  <dimension ref="A1:K5"/>
  <sheetViews>
    <sheetView workbookViewId="0">
      <selection activeCell="E6" sqref="E6"/>
    </sheetView>
  </sheetViews>
  <sheetFormatPr defaultRowHeight="15"/>
  <cols>
    <col min="1" max="1" width="17.7109375" customWidth="1"/>
    <col min="5" max="6" width="17.42578125" customWidth="1"/>
    <col min="8" max="8" width="17.140625" customWidth="1"/>
  </cols>
  <sheetData>
    <row r="1" spans="1:11">
      <c r="A1" t="s">
        <v>2792</v>
      </c>
      <c r="B1" t="s">
        <v>2793</v>
      </c>
      <c r="C1" t="s">
        <v>2794</v>
      </c>
      <c r="D1" t="s">
        <v>2795</v>
      </c>
      <c r="E1" t="s">
        <v>2796</v>
      </c>
      <c r="F1" t="s">
        <v>2797</v>
      </c>
      <c r="G1" t="s">
        <v>2798</v>
      </c>
      <c r="H1" t="s">
        <v>2799</v>
      </c>
      <c r="I1" s="2" t="s">
        <v>2783</v>
      </c>
      <c r="J1" t="s">
        <v>2784</v>
      </c>
      <c r="K1" t="s">
        <v>2785</v>
      </c>
    </row>
    <row r="2" spans="1:11">
      <c r="A2" s="9" t="s">
        <v>4</v>
      </c>
      <c r="B2">
        <f>COUNT(Cleaned_Sales_Dataset!E2:E1001)</f>
        <v>980</v>
      </c>
      <c r="C2">
        <f>AVERAGE(Cleaned_Sales_Dataset!E2:E1001)</f>
        <v>41.360204081632652</v>
      </c>
      <c r="D2">
        <f>MEDIAN(Cleaned_Sales_Dataset!E2:E1001)</f>
        <v>41</v>
      </c>
      <c r="E2">
        <f>_xlfn.MODE.SNGL(Cleaned_Sales_Dataset!E2:E1001)</f>
        <v>30</v>
      </c>
      <c r="F2">
        <f>MIN(Cleaned_Sales_Dataset!E2:E1001)</f>
        <v>18</v>
      </c>
      <c r="G2">
        <f>MAX(Cleaned_Sales_Dataset!E2:E1001)</f>
        <v>65</v>
      </c>
      <c r="H2">
        <f>_xlfn.STDEV.S(Cleaned_Sales_Dataset!E2:E1001)</f>
        <v>13.822597298510738</v>
      </c>
      <c r="I2" s="9">
        <f>_xlfn.QUARTILE.INC(Cleaned_Sales_Dataset!E2:E1001,1)</f>
        <v>30</v>
      </c>
      <c r="J2">
        <f>_xlfn.QUARTILE.INC(Cleaned_Sales_Dataset!E2:E1001,3)</f>
        <v>54</v>
      </c>
      <c r="K2">
        <f>J2-I2</f>
        <v>24</v>
      </c>
    </row>
    <row r="3" spans="1:11">
      <c r="A3" s="9" t="s">
        <v>9</v>
      </c>
      <c r="B3" s="9">
        <f>COUNT(Cleaned_Sales_Dataset!J2:J1001)</f>
        <v>1000</v>
      </c>
      <c r="C3">
        <f>AVERAGE(Cleaned_Sales_Dataset!J2:J1002)</f>
        <v>5.4349999999999996</v>
      </c>
      <c r="D3">
        <f>MEDIAN(Cleaned_Sales_Dataset!J2:J1001)</f>
        <v>5</v>
      </c>
      <c r="E3">
        <f>_xlfn.MODE.SNGL(Cleaned_Sales_Dataset!J2:J1001)</f>
        <v>5</v>
      </c>
      <c r="F3">
        <f>MIN(Cleaned_Sales_Dataset!J2:J1001)</f>
        <v>1</v>
      </c>
      <c r="G3">
        <f>MAX(Cleaned_Sales_Dataset!J2:J1001)</f>
        <v>10</v>
      </c>
      <c r="H3">
        <f>_xlfn.STDEV.S(Cleaned_Sales_Dataset!J2:J1001)</f>
        <v>2.8386322116175662</v>
      </c>
      <c r="I3">
        <f>_xlfn.QUARTILE.INC(Cleaned_Sales_Dataset!J2:J1001,1)</f>
        <v>3</v>
      </c>
      <c r="J3">
        <f>_xlfn.QUARTILE.INC(Cleaned_Sales_Dataset!J2:J1001,3)</f>
        <v>8</v>
      </c>
      <c r="K3">
        <f>J3-I3</f>
        <v>5</v>
      </c>
    </row>
    <row r="4" spans="1:11">
      <c r="A4" s="9" t="s">
        <v>10</v>
      </c>
      <c r="B4" s="9">
        <f>COUNT(Cleaned_Sales_Dataset!K2:K1001)</f>
        <v>1000</v>
      </c>
      <c r="C4">
        <f>AVERAGE(Cleaned_Sales_Dataset!K2:K1001)</f>
        <v>25486.783409999985</v>
      </c>
      <c r="D4">
        <f>MEDIAN(Cleaned_Sales_Dataset!K2:K1001)</f>
        <v>25398.74</v>
      </c>
      <c r="E4">
        <v>3</v>
      </c>
      <c r="F4">
        <f>MIN(Cleaned_Sales_Dataset!K2:K1001)</f>
        <v>145.78</v>
      </c>
      <c r="G4">
        <f>MAX(Cleaned_Sales_Dataset!K2:K1001)</f>
        <v>49997.53</v>
      </c>
      <c r="H4">
        <f>_xlfn.STDEV.S(Cleaned_Sales_Dataset!K2:K1001)</f>
        <v>14179.402360973769</v>
      </c>
      <c r="I4">
        <f>_xlfn.QUARTILE.INC(Cleaned_Sales_Dataset!K2:K1001,1)</f>
        <v>13895.7225</v>
      </c>
      <c r="J4">
        <f>_xlfn.QUARTILE.INC(Cleaned_Sales_Dataset!K2:K1001,3)</f>
        <v>37512.3825</v>
      </c>
      <c r="K4">
        <f>J4-I4</f>
        <v>23616.66</v>
      </c>
    </row>
    <row r="5" spans="1:11">
      <c r="A5" s="9" t="s">
        <v>11</v>
      </c>
      <c r="B5" s="9">
        <f>COUNT(Cleaned_Sales_Dataset!L2:L1001)</f>
        <v>1000</v>
      </c>
      <c r="C5">
        <f>AVERAGE(Cleaned_Sales_Dataset!L2:L1001)</f>
        <v>139399.43965000013</v>
      </c>
      <c r="D5">
        <f>MEDIAN(Cleaned_Sales_Dataset!L2:L1001)</f>
        <v>108594.02499999999</v>
      </c>
      <c r="E5">
        <v>3</v>
      </c>
      <c r="F5">
        <f>MIN(Cleaned_Sales_Dataset!L2:L1001)</f>
        <v>437.34</v>
      </c>
      <c r="G5">
        <f>MAX(Cleaned_Sales_Dataset!L2:L1001)</f>
        <v>493677.5</v>
      </c>
      <c r="H5">
        <f>_xlfn.STDEV.S(Cleaned_Sales_Dataset!L2:L1001)</f>
        <v>114100.05154617432</v>
      </c>
      <c r="I5">
        <f>_xlfn.QUARTILE.INC(Cleaned_Sales_Dataset!L2:L1001,1)</f>
        <v>47066.6325</v>
      </c>
      <c r="J5">
        <f>_xlfn.QUARTILE.INC(Cleaned_Sales_Dataset!L2:L1001,3)</f>
        <v>203722.88250000001</v>
      </c>
      <c r="K5">
        <f>J5-I5</f>
        <v>156656.25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DF16-CBDA-4252-8C0D-41E5532F97A1}">
  <dimension ref="A1"/>
  <sheetViews>
    <sheetView workbookViewId="0">
      <selection activeCell="T24" sqref="T24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7B46-D1AC-419B-811E-35B312CA8A32}">
  <dimension ref="A1:N50"/>
  <sheetViews>
    <sheetView workbookViewId="0">
      <selection activeCell="M20" sqref="M20:N26"/>
    </sheetView>
  </sheetViews>
  <sheetFormatPr defaultRowHeight="15"/>
  <cols>
    <col min="2" max="2" width="12" bestFit="1" customWidth="1"/>
    <col min="13" max="13" width="13" customWidth="1"/>
  </cols>
  <sheetData>
    <row r="1" spans="1:14">
      <c r="A1" s="48" t="s">
        <v>5</v>
      </c>
      <c r="B1" s="48" t="s">
        <v>2773</v>
      </c>
      <c r="M1" s="48" t="s">
        <v>6</v>
      </c>
      <c r="N1" s="48" t="s">
        <v>2773</v>
      </c>
    </row>
    <row r="2" spans="1:14">
      <c r="A2" s="11" t="s">
        <v>24</v>
      </c>
      <c r="B2" s="11">
        <v>511</v>
      </c>
      <c r="M2" s="11" t="s">
        <v>17</v>
      </c>
      <c r="N2" s="11">
        <v>122</v>
      </c>
    </row>
    <row r="3" spans="1:14">
      <c r="A3" s="11" t="s">
        <v>16</v>
      </c>
      <c r="B3" s="11">
        <v>489</v>
      </c>
      <c r="M3" s="11" t="s">
        <v>35</v>
      </c>
      <c r="N3" s="11">
        <v>133</v>
      </c>
    </row>
    <row r="4" spans="1:14">
      <c r="M4" s="11" t="s">
        <v>2802</v>
      </c>
      <c r="N4" s="11">
        <v>125</v>
      </c>
    </row>
    <row r="5" spans="1:14">
      <c r="M5" s="11" t="s">
        <v>51</v>
      </c>
      <c r="N5" s="11">
        <v>135</v>
      </c>
    </row>
    <row r="6" spans="1:14">
      <c r="M6" s="11" t="s">
        <v>60</v>
      </c>
      <c r="N6" s="11">
        <v>131</v>
      </c>
    </row>
    <row r="7" spans="1:14">
      <c r="M7" s="11" t="s">
        <v>69</v>
      </c>
      <c r="N7" s="11">
        <v>125</v>
      </c>
    </row>
    <row r="8" spans="1:14">
      <c r="M8" s="11" t="s">
        <v>102</v>
      </c>
      <c r="N8" s="11">
        <v>117</v>
      </c>
    </row>
    <row r="9" spans="1:14">
      <c r="M9" s="11" t="s">
        <v>115</v>
      </c>
      <c r="N9" s="11">
        <v>99</v>
      </c>
    </row>
    <row r="20" spans="1:14">
      <c r="A20" s="48" t="s">
        <v>8</v>
      </c>
      <c r="B20" s="48" t="s">
        <v>2773</v>
      </c>
      <c r="M20" s="48" t="s">
        <v>7</v>
      </c>
      <c r="N20" s="48" t="s">
        <v>2773</v>
      </c>
    </row>
    <row r="21" spans="1:14">
      <c r="A21" s="11" t="s">
        <v>19</v>
      </c>
      <c r="B21" s="11">
        <v>153</v>
      </c>
      <c r="M21" s="11" t="s">
        <v>18</v>
      </c>
      <c r="N21" s="11">
        <v>153</v>
      </c>
    </row>
    <row r="22" spans="1:14">
      <c r="A22" s="11" t="s">
        <v>2801</v>
      </c>
      <c r="B22" s="11">
        <v>178</v>
      </c>
      <c r="M22" s="11" t="s">
        <v>25</v>
      </c>
      <c r="N22" s="11">
        <v>178</v>
      </c>
    </row>
    <row r="23" spans="1:14">
      <c r="A23" s="11" t="s">
        <v>37</v>
      </c>
      <c r="B23" s="11">
        <v>354</v>
      </c>
      <c r="M23" s="11" t="s">
        <v>36</v>
      </c>
      <c r="N23" s="11">
        <v>184</v>
      </c>
    </row>
    <row r="24" spans="1:14">
      <c r="A24" s="11" t="s">
        <v>71</v>
      </c>
      <c r="B24" s="11">
        <v>156</v>
      </c>
      <c r="M24" s="11" t="s">
        <v>47</v>
      </c>
      <c r="N24" s="11">
        <v>170</v>
      </c>
    </row>
    <row r="25" spans="1:14">
      <c r="A25" s="11" t="s">
        <v>77</v>
      </c>
      <c r="B25" s="11">
        <v>159</v>
      </c>
      <c r="M25" s="11" t="s">
        <v>70</v>
      </c>
      <c r="N25" s="11">
        <v>156</v>
      </c>
    </row>
    <row r="26" spans="1:14">
      <c r="M26" s="11" t="s">
        <v>76</v>
      </c>
      <c r="N26" s="11">
        <v>159</v>
      </c>
    </row>
    <row r="39" spans="1:1">
      <c r="A39" s="24"/>
    </row>
    <row r="40" spans="1:1">
      <c r="A40" s="24"/>
    </row>
    <row r="41" spans="1:1">
      <c r="A41" s="24"/>
    </row>
    <row r="42" spans="1:1">
      <c r="A42" s="24"/>
    </row>
    <row r="43" spans="1:1">
      <c r="A43" s="24"/>
    </row>
    <row r="44" spans="1:1">
      <c r="A44" s="24"/>
    </row>
    <row r="45" spans="1:1">
      <c r="A45" s="24"/>
    </row>
    <row r="46" spans="1:1">
      <c r="A46" s="24"/>
    </row>
    <row r="47" spans="1:1">
      <c r="A47" s="24"/>
    </row>
    <row r="48" spans="1:1">
      <c r="A48" s="24"/>
    </row>
    <row r="49" spans="1:1">
      <c r="A49" s="24"/>
    </row>
    <row r="50" spans="1:1">
      <c r="A50" s="2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D674-6FA0-4440-9C2C-3925D10D2652}">
  <dimension ref="A1:N10"/>
  <sheetViews>
    <sheetView topLeftCell="A2" zoomScale="128" workbookViewId="0">
      <selection activeCell="E7" sqref="E7:F7"/>
    </sheetView>
  </sheetViews>
  <sheetFormatPr defaultRowHeight="15"/>
  <cols>
    <col min="1" max="1" width="29.140625" customWidth="1"/>
    <col min="2" max="2" width="25.5703125" customWidth="1"/>
    <col min="10" max="10" width="22.28515625" customWidth="1"/>
    <col min="11" max="11" width="13.28515625" style="33" customWidth="1"/>
  </cols>
  <sheetData>
    <row r="1" spans="1:14">
      <c r="A1" s="12" t="s">
        <v>2803</v>
      </c>
      <c r="B1" s="12" t="s">
        <v>2804</v>
      </c>
      <c r="J1" s="35"/>
      <c r="K1" s="35"/>
    </row>
    <row r="2" spans="1:14">
      <c r="A2" s="45" t="s">
        <v>2805</v>
      </c>
      <c r="B2" s="45" t="s">
        <v>2806</v>
      </c>
      <c r="J2" s="10"/>
      <c r="K2" s="34"/>
    </row>
    <row r="3" spans="1:14">
      <c r="A3" s="46" t="s">
        <v>2807</v>
      </c>
      <c r="B3" s="47"/>
    </row>
    <row r="4" spans="1:14" ht="26.25">
      <c r="A4" s="46" t="s">
        <v>2808</v>
      </c>
      <c r="B4" s="47">
        <f>COUNTA(Cleaned_Sales_Dataset!A:A)-1</f>
        <v>1000</v>
      </c>
      <c r="E4" s="30" t="s">
        <v>2813</v>
      </c>
      <c r="F4" s="30"/>
      <c r="G4" s="30"/>
      <c r="H4" s="30"/>
      <c r="I4" s="30"/>
      <c r="J4" s="30"/>
      <c r="K4" s="30"/>
      <c r="L4" s="30"/>
      <c r="M4" s="30"/>
      <c r="N4" s="30"/>
    </row>
    <row r="5" spans="1:14">
      <c r="A5" s="46" t="s">
        <v>2809</v>
      </c>
      <c r="B5" s="47"/>
      <c r="E5" s="27"/>
      <c r="F5" s="27"/>
      <c r="G5" s="27"/>
      <c r="H5" s="27"/>
      <c r="I5" s="27"/>
      <c r="J5" s="27"/>
      <c r="K5" s="11"/>
      <c r="L5" s="11"/>
      <c r="M5" s="11"/>
      <c r="N5" s="11"/>
    </row>
    <row r="6" spans="1:14" ht="23.25">
      <c r="A6" s="46" t="s">
        <v>2810</v>
      </c>
      <c r="B6" s="47"/>
      <c r="E6" s="29" t="s">
        <v>2814</v>
      </c>
      <c r="F6" s="29"/>
      <c r="G6" s="29" t="s">
        <v>2815</v>
      </c>
      <c r="H6" s="29"/>
      <c r="I6" s="29" t="s">
        <v>2816</v>
      </c>
      <c r="J6" s="29"/>
      <c r="K6" s="11"/>
      <c r="L6" s="11"/>
      <c r="M6" s="11"/>
      <c r="N6" s="11"/>
    </row>
    <row r="7" spans="1:14" ht="23.25">
      <c r="A7" s="46" t="s">
        <v>2811</v>
      </c>
      <c r="B7" s="47">
        <f>SUMPRODUCT((Cleaned_Sales_Dataset!C2:C1001&lt;&gt;"")/COUNTIF(Cleaned_Sales_Dataset!C2:C1001,Cleaned_Sales_Dataset!C2:C1001&amp;""))</f>
        <v>947.00000000000011</v>
      </c>
      <c r="E7" s="29">
        <f>KPI_Calculations!F6</f>
        <v>0</v>
      </c>
      <c r="F7" s="29"/>
      <c r="G7" s="28">
        <f>KPI_Calculations!F7</f>
        <v>0</v>
      </c>
      <c r="H7" s="28"/>
      <c r="I7" s="28">
        <f>KPI_Calculations!F8</f>
        <v>0</v>
      </c>
      <c r="J7" s="28"/>
      <c r="K7" s="11"/>
      <c r="L7" s="11"/>
      <c r="M7" s="11"/>
      <c r="N7" s="11"/>
    </row>
    <row r="8" spans="1:14">
      <c r="A8" s="46" t="s">
        <v>2812</v>
      </c>
      <c r="B8" s="47"/>
      <c r="E8" s="25"/>
      <c r="F8" s="25"/>
      <c r="G8" s="26"/>
      <c r="H8" s="26"/>
      <c r="I8" s="26"/>
      <c r="J8" s="26"/>
      <c r="K8" s="11"/>
      <c r="L8" s="11"/>
      <c r="M8" s="11"/>
      <c r="N8" s="11"/>
    </row>
    <row r="9" spans="1:14" ht="23.25">
      <c r="E9" s="29" t="s">
        <v>2817</v>
      </c>
      <c r="F9" s="29"/>
      <c r="G9" s="29" t="s">
        <v>2818</v>
      </c>
      <c r="H9" s="29"/>
      <c r="I9" s="29" t="s">
        <v>2819</v>
      </c>
      <c r="J9" s="29"/>
      <c r="K9" s="11"/>
      <c r="L9" s="11"/>
      <c r="M9" s="11"/>
      <c r="N9" s="11"/>
    </row>
    <row r="10" spans="1:14" ht="23.25">
      <c r="E10" s="28">
        <f>KPI_Calculations!F9</f>
        <v>0</v>
      </c>
      <c r="F10" s="28"/>
      <c r="G10" s="28">
        <f>KPI_Calculations!F10</f>
        <v>0</v>
      </c>
      <c r="H10" s="28"/>
      <c r="I10" s="28">
        <f>KPI_Calculations!F11</f>
        <v>0</v>
      </c>
      <c r="J10" s="28"/>
      <c r="K10" s="11"/>
      <c r="L10" s="11"/>
      <c r="M10" s="11"/>
      <c r="N10" s="11"/>
    </row>
  </sheetData>
  <mergeCells count="18">
    <mergeCell ref="E9:F9"/>
    <mergeCell ref="G9:H9"/>
    <mergeCell ref="I9:J9"/>
    <mergeCell ref="E10:F10"/>
    <mergeCell ref="G10:H10"/>
    <mergeCell ref="I10:J10"/>
    <mergeCell ref="E7:F7"/>
    <mergeCell ref="G7:H7"/>
    <mergeCell ref="I7:J7"/>
    <mergeCell ref="E8:F8"/>
    <mergeCell ref="G8:H8"/>
    <mergeCell ref="I8:J8"/>
    <mergeCell ref="J1:K1"/>
    <mergeCell ref="E4:N4"/>
    <mergeCell ref="E5:J5"/>
    <mergeCell ref="E6:F6"/>
    <mergeCell ref="G6:H6"/>
    <mergeCell ref="I6:J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DAD7-6864-4B6B-BF62-E28BC8ECDF75}">
  <dimension ref="A1:M14"/>
  <sheetViews>
    <sheetView tabSelected="1" topLeftCell="A14" zoomScale="98" workbookViewId="0">
      <selection activeCell="E7" sqref="E7:F7"/>
    </sheetView>
  </sheetViews>
  <sheetFormatPr defaultRowHeight="15"/>
  <cols>
    <col min="1" max="1" width="33.5703125" customWidth="1"/>
    <col min="3" max="3" width="12.7109375" customWidth="1"/>
    <col min="4" max="4" width="18.5703125" customWidth="1"/>
    <col min="6" max="6" width="17.28515625" customWidth="1"/>
    <col min="7" max="10" width="9.140625" hidden="1" customWidth="1"/>
    <col min="12" max="12" width="21.5703125" customWidth="1"/>
    <col min="13" max="13" width="22.42578125" customWidth="1"/>
  </cols>
  <sheetData>
    <row r="1" spans="1:13" ht="19.5" customHeight="1">
      <c r="A1" s="50"/>
      <c r="B1" s="50"/>
      <c r="C1" s="50"/>
      <c r="D1" s="50"/>
      <c r="E1" s="50"/>
      <c r="F1" s="50"/>
      <c r="G1" s="50"/>
      <c r="H1" s="50"/>
      <c r="I1" s="50"/>
      <c r="J1" s="50"/>
      <c r="L1" s="12" t="s">
        <v>2803</v>
      </c>
      <c r="M1" s="12" t="s">
        <v>2804</v>
      </c>
    </row>
    <row r="2" spans="1:13" ht="26.25">
      <c r="A2" s="50" t="s">
        <v>2813</v>
      </c>
      <c r="B2" s="50"/>
      <c r="C2" s="50"/>
      <c r="D2" s="50"/>
      <c r="E2" s="50"/>
      <c r="F2" s="50"/>
      <c r="G2" s="50"/>
      <c r="H2" s="50"/>
      <c r="I2" s="50"/>
      <c r="J2" s="50"/>
      <c r="L2" s="45" t="s">
        <v>2805</v>
      </c>
      <c r="M2" s="45" t="s">
        <v>2806</v>
      </c>
    </row>
    <row r="3" spans="1:13" ht="21" customHeight="1">
      <c r="A3" s="29" t="s">
        <v>2814</v>
      </c>
      <c r="B3" s="29"/>
      <c r="C3" s="29" t="s">
        <v>2815</v>
      </c>
      <c r="D3" s="29"/>
      <c r="E3" s="29" t="s">
        <v>2816</v>
      </c>
      <c r="F3" s="29"/>
      <c r="G3" s="11"/>
      <c r="H3" s="11"/>
      <c r="I3" s="11"/>
      <c r="J3" s="11"/>
      <c r="L3" s="46" t="s">
        <v>2807</v>
      </c>
      <c r="M3" s="47">
        <f>SUM(Cleaned_Sales_Dataset!L:L)</f>
        <v>139399439.65000013</v>
      </c>
    </row>
    <row r="4" spans="1:13" ht="21" customHeight="1">
      <c r="A4" s="51">
        <v>139399439</v>
      </c>
      <c r="B4" s="29"/>
      <c r="C4" s="52">
        <v>1000</v>
      </c>
      <c r="D4" s="28"/>
      <c r="E4" s="28">
        <v>5435</v>
      </c>
      <c r="F4" s="28"/>
      <c r="G4" s="11"/>
      <c r="H4" s="11"/>
      <c r="I4" s="11"/>
      <c r="J4" s="11"/>
      <c r="L4" s="46" t="s">
        <v>2808</v>
      </c>
      <c r="M4" s="47">
        <f>COUNTA(Cleaned_Sales_Dataset!L:L)-1</f>
        <v>1000</v>
      </c>
    </row>
    <row r="5" spans="1:13" ht="24" customHeight="1">
      <c r="A5" s="25"/>
      <c r="B5" s="25"/>
      <c r="C5" s="25"/>
      <c r="D5" s="25"/>
      <c r="E5" s="25"/>
      <c r="F5" s="25"/>
      <c r="G5" s="11"/>
      <c r="H5" s="11"/>
      <c r="I5" s="11"/>
      <c r="J5" s="11"/>
      <c r="L5" s="46" t="s">
        <v>2809</v>
      </c>
      <c r="M5" s="47">
        <f>SUM(Cleaned_Sales_Dataset!J:J)</f>
        <v>5435</v>
      </c>
    </row>
    <row r="6" spans="1:13" ht="25.5" customHeight="1">
      <c r="A6" s="29" t="s">
        <v>2817</v>
      </c>
      <c r="B6" s="29"/>
      <c r="C6" s="29" t="s">
        <v>2818</v>
      </c>
      <c r="D6" s="29"/>
      <c r="E6" s="29" t="s">
        <v>2819</v>
      </c>
      <c r="F6" s="29"/>
      <c r="G6" s="11"/>
      <c r="H6" s="11"/>
      <c r="I6" s="11"/>
      <c r="J6" s="11"/>
      <c r="L6" s="46" t="s">
        <v>2810</v>
      </c>
      <c r="M6" s="47">
        <f>AVERAGE(Cleaned_Sales_Dataset!L:L)</f>
        <v>139399.43965000013</v>
      </c>
    </row>
    <row r="7" spans="1:13" ht="23.25">
      <c r="A7" s="49">
        <v>139399.44</v>
      </c>
      <c r="B7" s="28"/>
      <c r="C7" s="28">
        <v>947</v>
      </c>
      <c r="D7" s="28"/>
      <c r="E7" s="28">
        <v>8</v>
      </c>
      <c r="F7" s="28"/>
      <c r="G7" s="11"/>
      <c r="H7" s="11"/>
      <c r="I7" s="11"/>
      <c r="J7" s="11"/>
      <c r="L7" s="46" t="s">
        <v>2811</v>
      </c>
      <c r="M7" s="47">
        <f>SUMPRODUCT((Cleaned_Sales_Dataset!C2:C1001&lt;&gt;"")/COUNTIF(Cleaned_Sales_Dataset!C2:C1001,Cleaned_Sales_Dataset!C2:C1001&amp;""))</f>
        <v>947.00000000000011</v>
      </c>
    </row>
    <row r="8" spans="1:13" ht="22.5" customHeight="1">
      <c r="L8" s="46" t="s">
        <v>2812</v>
      </c>
      <c r="M8" s="47">
        <f>SUMPRODUCT((Cleaned_Sales_Dataset!G2:G1001&lt;&gt;"")/COUNTIF(Cleaned_Sales_Dataset!G2:G1001,Cleaned_Sales_Dataset!G2:G1001&amp;""))</f>
        <v>7.9999999999999858</v>
      </c>
    </row>
    <row r="9" spans="1:13" ht="26.25">
      <c r="A9" s="50"/>
      <c r="B9" s="50"/>
      <c r="C9" s="50"/>
      <c r="D9" s="50"/>
      <c r="E9" s="50"/>
      <c r="F9" s="50"/>
      <c r="G9" s="50"/>
      <c r="H9" s="50"/>
      <c r="I9" s="50"/>
      <c r="J9" s="50"/>
    </row>
    <row r="10" spans="1:13" ht="23.25">
      <c r="A10" s="29"/>
      <c r="B10" s="29"/>
      <c r="C10" s="29"/>
      <c r="D10" s="29"/>
      <c r="E10" s="29"/>
      <c r="F10" s="29"/>
      <c r="G10" s="11"/>
      <c r="H10" s="11"/>
      <c r="I10" s="11"/>
      <c r="J10" s="11"/>
    </row>
    <row r="11" spans="1:13" ht="23.25">
      <c r="A11" s="51"/>
      <c r="B11" s="29"/>
      <c r="C11" s="28"/>
      <c r="D11" s="28"/>
      <c r="E11" s="28"/>
      <c r="F11" s="28"/>
      <c r="G11" s="11"/>
      <c r="H11" s="11"/>
      <c r="I11" s="11"/>
      <c r="J11" s="11"/>
    </row>
    <row r="12" spans="1:13">
      <c r="A12" s="25"/>
      <c r="B12" s="25"/>
      <c r="C12" s="25"/>
      <c r="D12" s="25"/>
      <c r="E12" s="25"/>
      <c r="F12" s="25"/>
      <c r="G12" s="11"/>
      <c r="H12" s="11"/>
      <c r="I12" s="11"/>
      <c r="J12" s="11"/>
    </row>
    <row r="13" spans="1:13" ht="23.25">
      <c r="A13" s="29"/>
      <c r="B13" s="29"/>
      <c r="C13" s="29"/>
      <c r="D13" s="29"/>
      <c r="E13" s="29"/>
      <c r="F13" s="29"/>
      <c r="G13" s="11"/>
      <c r="H13" s="11"/>
      <c r="I13" s="11"/>
      <c r="J13" s="11"/>
    </row>
    <row r="14" spans="1:13" ht="23.25">
      <c r="A14" s="49"/>
      <c r="B14" s="28"/>
      <c r="C14" s="28"/>
      <c r="D14" s="28"/>
      <c r="E14" s="28"/>
      <c r="F14" s="28"/>
      <c r="G14" s="11"/>
      <c r="H14" s="11"/>
      <c r="I14" s="11"/>
      <c r="J14" s="11"/>
    </row>
  </sheetData>
  <mergeCells count="29">
    <mergeCell ref="A1:J1"/>
    <mergeCell ref="A3:B3"/>
    <mergeCell ref="C3:D3"/>
    <mergeCell ref="E3:F3"/>
    <mergeCell ref="A2:J2"/>
    <mergeCell ref="A6:B6"/>
    <mergeCell ref="C6:D6"/>
    <mergeCell ref="E6:F6"/>
    <mergeCell ref="A7:B7"/>
    <mergeCell ref="C7:D7"/>
    <mergeCell ref="E7:F7"/>
    <mergeCell ref="A9:J9"/>
    <mergeCell ref="A12:F12"/>
    <mergeCell ref="C13:D13"/>
    <mergeCell ref="E13:F13"/>
    <mergeCell ref="C14:D14"/>
    <mergeCell ref="E14:F14"/>
    <mergeCell ref="A13:B13"/>
    <mergeCell ref="A14:B14"/>
    <mergeCell ref="E11:F11"/>
    <mergeCell ref="C11:D11"/>
    <mergeCell ref="E10:F10"/>
    <mergeCell ref="C10:D10"/>
    <mergeCell ref="A11:B11"/>
    <mergeCell ref="A10:B10"/>
    <mergeCell ref="A4:B4"/>
    <mergeCell ref="C4:D4"/>
    <mergeCell ref="E4:F4"/>
    <mergeCell ref="A5:F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8257-18B8-4002-A3C1-2348AEB0B39C}">
  <dimension ref="B34:J46"/>
  <sheetViews>
    <sheetView topLeftCell="A20" zoomScale="90" workbookViewId="0">
      <selection activeCell="G43" sqref="G43:J43"/>
    </sheetView>
  </sheetViews>
  <sheetFormatPr defaultRowHeight="15"/>
  <cols>
    <col min="5" max="5" width="9.85546875" customWidth="1"/>
    <col min="6" max="6" width="13.28515625" customWidth="1"/>
  </cols>
  <sheetData>
    <row r="34" spans="2:10">
      <c r="D34" s="36" t="s">
        <v>2829</v>
      </c>
      <c r="E34" s="36"/>
    </row>
    <row r="35" spans="2:10">
      <c r="C35" t="s">
        <v>4</v>
      </c>
      <c r="D35" t="s">
        <v>9</v>
      </c>
      <c r="E35" t="s">
        <v>2828</v>
      </c>
      <c r="F35" t="s">
        <v>2827</v>
      </c>
    </row>
    <row r="36" spans="2:10">
      <c r="B36" t="s">
        <v>4</v>
      </c>
      <c r="C36">
        <f>CORREL(Cleaned_Sales_Dataset!E2:E1001,Cleaned_Sales_Dataset!E2:E1001)</f>
        <v>1.0000000000000002</v>
      </c>
      <c r="D36">
        <f>CORREL(Cleaned_Sales_Dataset!E2:E1001,Cleaned_Sales_Dataset!J2:J1001)</f>
        <v>-2.7627813584786477E-2</v>
      </c>
      <c r="E36">
        <f>CORREL(Cleaned_Sales_Dataset!E2:E1001,Cleaned_Sales_Dataset!K2:K1001)</f>
        <v>-1.2213720557260981E-2</v>
      </c>
      <c r="F36">
        <f>CORREL(Cleaned_Sales_Dataset!E2:E1001,Cleaned_Sales_Dataset!L2:L1001)</f>
        <v>1.4789937520900056E-3</v>
      </c>
    </row>
    <row r="37" spans="2:10">
      <c r="B37" t="s">
        <v>9</v>
      </c>
      <c r="C37">
        <f>CORREL(Cleaned_Sales_Dataset!E2:E1001,Cleaned_Sales_Dataset!K2:K1001)</f>
        <v>-1.2213720557260981E-2</v>
      </c>
      <c r="D37">
        <f>CORREL(Cleaned_Sales_Dataset!J2:J1001,Cleaned_Sales_Dataset!J2:J1001)</f>
        <v>1</v>
      </c>
      <c r="E37">
        <f>CORREL(Cleaned_Sales_Dataset!L2:L1001,Cleaned_Sales_Dataset!K2:K1001)</f>
        <v>0.68630343113125103</v>
      </c>
      <c r="F37">
        <f>CORREL(Cleaned_Sales_Dataset!J2:J1001,Cleaned_Sales_Dataset!L2:L1001)</f>
        <v>0.64664061630042624</v>
      </c>
    </row>
    <row r="38" spans="2:10">
      <c r="B38" t="s">
        <v>2826</v>
      </c>
      <c r="C38">
        <f>CORREL(Cleaned_Sales_Dataset!J2:J1001,Cleaned_Sales_Dataset!E2:E1001)</f>
        <v>-2.7627813584786477E-2</v>
      </c>
      <c r="D38">
        <f>CORREL(Cleaned_Sales_Dataset!K2:K1001,Cleaned_Sales_Dataset!J2:J1001)</f>
        <v>2.1854636065217276E-2</v>
      </c>
      <c r="E38">
        <f>CORREL(Cleaned_Sales_Dataset!K2:K1001,Cleaned_Sales_Dataset!K2:K1001)</f>
        <v>1.0000000000000002</v>
      </c>
      <c r="F38">
        <f>CORREL(Cleaned_Sales_Dataset!K2:K1001,Cleaned_Sales_Dataset!L2:L1001)</f>
        <v>0.68630343113125103</v>
      </c>
    </row>
    <row r="39" spans="2:10">
      <c r="B39" t="s">
        <v>2827</v>
      </c>
      <c r="C39">
        <f>CORREL(Cleaned_Sales_Dataset!L2:L1001,Cleaned_Sales_Dataset!E2:E1001)</f>
        <v>1.4789937520900056E-3</v>
      </c>
      <c r="D39">
        <f>CORREL(Cleaned_Sales_Dataset!L2:L1001,Cleaned_Sales_Dataset!J2:J1001)</f>
        <v>0.64664061630042624</v>
      </c>
      <c r="E39">
        <f>CORREL(Cleaned_Sales_Dataset!L2:L1001,Cleaned_Sales_Dataset!K2:K1001)</f>
        <v>0.68630343113125103</v>
      </c>
      <c r="F39">
        <f>CORREL(Cleaned_Sales_Dataset!L2:L1001,Cleaned_Sales_Dataset!L2:L1001)</f>
        <v>1</v>
      </c>
    </row>
    <row r="41" spans="2:10">
      <c r="C41" s="37" t="s">
        <v>2830</v>
      </c>
      <c r="D41" s="37"/>
      <c r="E41" s="37"/>
      <c r="F41" s="37"/>
      <c r="G41" s="37"/>
      <c r="H41" s="37"/>
      <c r="I41" s="37"/>
      <c r="J41" s="37"/>
    </row>
    <row r="42" spans="2:10">
      <c r="C42" s="38" t="s">
        <v>2837</v>
      </c>
      <c r="D42" s="38"/>
      <c r="E42" s="38"/>
      <c r="F42" s="39" t="s">
        <v>2838</v>
      </c>
      <c r="G42" s="38" t="s">
        <v>2839</v>
      </c>
      <c r="H42" s="38"/>
      <c r="I42" s="38"/>
      <c r="J42" s="38"/>
    </row>
    <row r="43" spans="2:10">
      <c r="C43" s="40" t="s">
        <v>2824</v>
      </c>
      <c r="D43" s="40"/>
      <c r="E43" s="40"/>
      <c r="F43" s="11">
        <v>0.68600000000000005</v>
      </c>
      <c r="G43" s="42" t="s">
        <v>2834</v>
      </c>
      <c r="H43" s="43"/>
      <c r="I43" s="43"/>
      <c r="J43" s="44"/>
    </row>
    <row r="44" spans="2:10">
      <c r="C44" s="40" t="s">
        <v>2831</v>
      </c>
      <c r="D44" s="40"/>
      <c r="E44" s="40"/>
      <c r="F44" s="11">
        <v>0.64700000000000002</v>
      </c>
      <c r="G44" s="11" t="s">
        <v>2835</v>
      </c>
      <c r="H44" s="11"/>
      <c r="I44" s="11"/>
      <c r="J44" s="11"/>
    </row>
    <row r="45" spans="2:10">
      <c r="C45" s="41" t="s">
        <v>2832</v>
      </c>
      <c r="D45" s="41"/>
      <c r="E45" s="41"/>
      <c r="F45" s="11">
        <v>1E-3</v>
      </c>
      <c r="G45" s="42" t="s">
        <v>2836</v>
      </c>
      <c r="H45" s="43"/>
      <c r="I45" s="43"/>
      <c r="J45" s="44"/>
    </row>
    <row r="46" spans="2:10">
      <c r="C46" s="40" t="s">
        <v>2833</v>
      </c>
      <c r="D46" s="40"/>
      <c r="E46" s="40"/>
      <c r="F46" s="11">
        <v>2.1999999999999999E-2</v>
      </c>
      <c r="G46" s="42" t="s">
        <v>2836</v>
      </c>
      <c r="H46" s="43"/>
      <c r="I46" s="43"/>
      <c r="J46" s="44"/>
    </row>
  </sheetData>
  <mergeCells count="8">
    <mergeCell ref="G46:J46"/>
    <mergeCell ref="G45:J45"/>
    <mergeCell ref="G43:J43"/>
    <mergeCell ref="C42:E42"/>
    <mergeCell ref="C45:E45"/>
    <mergeCell ref="C41:J41"/>
    <mergeCell ref="G42:J42"/>
    <mergeCell ref="D34:E34"/>
  </mergeCells>
  <conditionalFormatting sqref="B36:F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Sales_Dataset</vt:lpstr>
      <vt:lpstr>Data_Quality_Report</vt:lpstr>
      <vt:lpstr>Data_Dictionary</vt:lpstr>
      <vt:lpstr>Sheet9</vt:lpstr>
      <vt:lpstr>Sheet10</vt:lpstr>
      <vt:lpstr>Sheet1</vt:lpstr>
      <vt:lpstr>Cleaned_Sales_Dataset</vt:lpstr>
      <vt:lpstr>Numerical_Analysis</vt:lpstr>
      <vt:lpstr>Univariate_Analysis</vt:lpstr>
      <vt:lpstr>Categorical_Analysis</vt:lpstr>
      <vt:lpstr>KPI_Calculations</vt:lpstr>
      <vt:lpstr>Dashboard</vt:lpstr>
      <vt:lpstr>Multivariate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bhola</cp:lastModifiedBy>
  <dcterms:created xsi:type="dcterms:W3CDTF">2026-06-06T07:04:51Z</dcterms:created>
  <dcterms:modified xsi:type="dcterms:W3CDTF">2026-09-06T13:39:22Z</dcterms:modified>
</cp:coreProperties>
</file>